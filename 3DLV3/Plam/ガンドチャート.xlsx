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19" documentId="13_ncr:1_{767AA1FC-884A-4E0E-8A8D-949F00F0F879}" xr6:coauthVersionLast="47" xr6:coauthVersionMax="47" xr10:uidLastSave="{8E495CC2-075E-42CF-94EB-EC16EDD49AC1}"/>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80" i="11" l="1"/>
  <c r="E80" i="11"/>
  <c r="E9" i="11"/>
  <c r="H75" i="11"/>
  <c r="H81" i="11"/>
  <c r="H7" i="11"/>
  <c r="I5" i="11" l="1"/>
  <c r="H70" i="11"/>
  <c r="H15" i="11"/>
  <c r="H8" i="11"/>
  <c r="I6" i="11" l="1"/>
  <c r="J5" i="11" l="1"/>
  <c r="E10" i="11" l="1"/>
  <c r="F9" i="11"/>
  <c r="H9" i="11" s="1"/>
  <c r="K5" i="11"/>
  <c r="E12" i="11" l="1"/>
  <c r="E11" i="11"/>
  <c r="F11" i="11"/>
  <c r="F10" i="11"/>
  <c r="H10" i="11"/>
  <c r="L5" i="11"/>
  <c r="E14" i="11" l="1"/>
  <c r="E13" i="11"/>
  <c r="F14" i="11"/>
  <c r="F13" i="11"/>
  <c r="F12" i="11"/>
  <c r="M5" i="11"/>
  <c r="E16" i="11" l="1"/>
  <c r="F18" i="11"/>
  <c r="E18" i="11"/>
  <c r="F17" i="11"/>
  <c r="E17" i="11"/>
  <c r="F16" i="11"/>
  <c r="H14" i="11"/>
  <c r="N5" i="11"/>
  <c r="O5" i="11" l="1"/>
  <c r="P5" i="11" l="1"/>
  <c r="O6" i="11"/>
  <c r="N6" i="11"/>
  <c r="M6" i="11"/>
  <c r="L6" i="11"/>
  <c r="K6" i="11"/>
  <c r="J6" i="11"/>
  <c r="I4" i="11"/>
  <c r="E24" i="11" l="1"/>
  <c r="F22" i="11"/>
  <c r="E22" i="11"/>
  <c r="F21" i="11"/>
  <c r="E21" i="11"/>
  <c r="E20" i="11"/>
  <c r="F20" i="11"/>
  <c r="F19" i="11"/>
  <c r="E19" i="11"/>
  <c r="P6" i="11"/>
  <c r="H11" i="11"/>
  <c r="H12" i="11"/>
  <c r="P4" i="11"/>
  <c r="Q5" i="11"/>
  <c r="E23" i="11" l="1"/>
  <c r="F23" i="11"/>
  <c r="E27" i="11"/>
  <c r="F26" i="11"/>
  <c r="E26" i="11"/>
  <c r="F25" i="11"/>
  <c r="E25" i="11"/>
  <c r="F24" i="11"/>
  <c r="E28" i="11"/>
  <c r="F27" i="11"/>
  <c r="H16" i="11"/>
  <c r="H17" i="11"/>
  <c r="R5" i="11"/>
  <c r="F30" i="11" l="1"/>
  <c r="E30" i="11"/>
  <c r="F29" i="11"/>
  <c r="E29" i="11"/>
  <c r="F28" i="11"/>
  <c r="S5" i="11"/>
  <c r="T5" i="11" l="1"/>
  <c r="E31" i="11" l="1"/>
  <c r="U5" i="11"/>
  <c r="V5" i="11" l="1"/>
  <c r="W5" i="11" l="1"/>
  <c r="V6" i="11"/>
  <c r="U6" i="11"/>
  <c r="T6" i="11"/>
  <c r="S6" i="11"/>
  <c r="R6" i="11"/>
  <c r="Q6" i="11"/>
  <c r="E35" i="11" l="1"/>
  <c r="F34" i="11"/>
  <c r="E34" i="11"/>
  <c r="F31" i="11"/>
  <c r="E32" i="11" s="1"/>
  <c r="W6" i="11"/>
  <c r="H18" i="11"/>
  <c r="X5" i="11"/>
  <c r="W4" i="11"/>
  <c r="E39" i="11" l="1"/>
  <c r="E40" i="11"/>
  <c r="E38" i="11"/>
  <c r="F39" i="11"/>
  <c r="F38" i="11"/>
  <c r="F33" i="11"/>
  <c r="E33" i="11"/>
  <c r="F32" i="11"/>
  <c r="F37" i="11"/>
  <c r="F36" i="11"/>
  <c r="E36" i="11"/>
  <c r="F35" i="11"/>
  <c r="Y5" i="11"/>
  <c r="F40" i="11" l="1"/>
  <c r="E46" i="11"/>
  <c r="E42" i="11"/>
  <c r="F43" i="11"/>
  <c r="F42" i="11"/>
  <c r="F41" i="11"/>
  <c r="E41" i="11"/>
  <c r="E45" i="11"/>
  <c r="F46" i="11"/>
  <c r="F45" i="11"/>
  <c r="F44" i="11"/>
  <c r="E44" i="11"/>
  <c r="Z5" i="11"/>
  <c r="AA5" i="11" l="1"/>
  <c r="F49" i="11" l="1"/>
  <c r="E49" i="11"/>
  <c r="F47" i="11"/>
  <c r="E47" i="11"/>
  <c r="F51" i="11"/>
  <c r="E48" i="11"/>
  <c r="E53" i="11"/>
  <c r="E52" i="11"/>
  <c r="E51" i="11"/>
  <c r="E50" i="11"/>
  <c r="F48" i="11"/>
  <c r="F53" i="11"/>
  <c r="F52" i="11"/>
  <c r="F50" i="11"/>
  <c r="AB5" i="11"/>
  <c r="AC5" i="11" s="1"/>
  <c r="AD5" i="11" l="1"/>
  <c r="AC6" i="11"/>
  <c r="AB6" i="11"/>
  <c r="AA6" i="11"/>
  <c r="Z6" i="11"/>
  <c r="Y6" i="11"/>
  <c r="X6" i="11"/>
  <c r="E56" i="11" l="1"/>
  <c r="F54" i="11"/>
  <c r="E54" i="11"/>
  <c r="F55" i="11"/>
  <c r="E55" i="11"/>
  <c r="AD6" i="11"/>
  <c r="AE5" i="11"/>
  <c r="AF5" i="11" s="1"/>
  <c r="F59" i="11" l="1"/>
  <c r="F60" i="11"/>
  <c r="E60" i="11"/>
  <c r="E59" i="11"/>
  <c r="E58" i="11"/>
  <c r="F58" i="11"/>
  <c r="F57" i="11"/>
  <c r="E57" i="11"/>
  <c r="F56" i="11"/>
  <c r="AG5" i="11"/>
  <c r="AH5" i="11" l="1"/>
  <c r="F62" i="11" l="1"/>
  <c r="E62" i="11"/>
  <c r="E61" i="11"/>
  <c r="E63" i="11"/>
  <c r="F61" i="11"/>
  <c r="AI5" i="11"/>
  <c r="AJ5" i="11" l="1"/>
  <c r="AJ6" i="11" s="1"/>
  <c r="AI6" i="11"/>
  <c r="AH6" i="11"/>
  <c r="AG6" i="11"/>
  <c r="AF6" i="11"/>
  <c r="AE6" i="11"/>
  <c r="AD4" i="11"/>
  <c r="AK5" i="11" l="1"/>
  <c r="AL5" i="11" l="1"/>
  <c r="E37" i="11" l="1"/>
  <c r="AM5" i="11"/>
  <c r="E43" i="11" l="1"/>
  <c r="AN5" i="11"/>
  <c r="AO5" i="11" l="1"/>
  <c r="F63" i="11" l="1"/>
  <c r="F65" i="11"/>
  <c r="F66" i="11" s="1"/>
  <c r="F64" i="11"/>
  <c r="E64" i="11"/>
  <c r="E65" i="11" s="1"/>
  <c r="E66" i="11" s="1"/>
  <c r="AP5" i="11"/>
  <c r="AQ5" i="11" l="1"/>
  <c r="AP6" i="11"/>
  <c r="AO6" i="11"/>
  <c r="AN6" i="11"/>
  <c r="AM6" i="11"/>
  <c r="AL6" i="11"/>
  <c r="AK6" i="11"/>
  <c r="AQ6" i="11" l="1"/>
  <c r="AR5" i="11"/>
  <c r="AK4" i="11"/>
  <c r="F67" i="11" l="1"/>
  <c r="E68" i="11" s="1"/>
  <c r="E67" i="11"/>
  <c r="AS5" i="11"/>
  <c r="F68" i="11" s="1"/>
  <c r="AR6" i="11"/>
  <c r="AR4" i="11"/>
  <c r="E69" i="11" l="1"/>
  <c r="F69" i="11"/>
  <c r="AS6" i="11"/>
  <c r="AT5" i="11"/>
  <c r="AT6" i="11" l="1"/>
  <c r="F76" i="11"/>
  <c r="E76" i="11"/>
  <c r="E77" i="11" s="1"/>
  <c r="E71" i="11"/>
  <c r="F71" i="11"/>
  <c r="AU5" i="11"/>
  <c r="AU6" i="11" s="1"/>
  <c r="F72" i="11" l="1"/>
  <c r="F73" i="11" s="1"/>
  <c r="F74" i="11" s="1"/>
  <c r="E72" i="11"/>
  <c r="H71" i="11"/>
  <c r="AV5" i="11"/>
  <c r="AV6" i="11" l="1"/>
  <c r="F77" i="11"/>
  <c r="E78" i="11"/>
  <c r="F78" i="11"/>
  <c r="E73" i="11"/>
  <c r="H72" i="11"/>
  <c r="AW5" i="11"/>
  <c r="AW6" i="11" s="1"/>
  <c r="E74" i="11" l="1"/>
  <c r="H74" i="11" s="1"/>
  <c r="H73" i="11"/>
  <c r="F82" i="11"/>
  <c r="F83" i="11" s="1"/>
  <c r="E82" i="11"/>
  <c r="AX5" i="11"/>
  <c r="AY5" i="11" s="1"/>
  <c r="E84" i="11" s="1"/>
  <c r="E83" i="11" l="1"/>
  <c r="H83" i="11" s="1"/>
  <c r="H82" i="11"/>
  <c r="AX6" i="11"/>
  <c r="AY6" i="11"/>
  <c r="AZ5" i="11"/>
  <c r="AZ6" i="11" s="1"/>
  <c r="AY4" i="11"/>
  <c r="BA5" i="11" l="1"/>
  <c r="BA6" i="11" l="1"/>
  <c r="F84" i="11"/>
  <c r="BB5" i="11"/>
  <c r="BB6" i="11" s="1"/>
  <c r="H84" i="11" l="1"/>
  <c r="E85" i="11"/>
  <c r="BC5" i="11"/>
  <c r="BC6" i="11" l="1"/>
  <c r="F86" i="11"/>
  <c r="F85" i="11"/>
  <c r="E86" i="11" s="1"/>
  <c r="H86" i="11" s="1"/>
  <c r="H85" i="11"/>
  <c r="BD5" i="11"/>
  <c r="BD6" i="11" s="1"/>
  <c r="F87" i="11" l="1"/>
  <c r="E87" i="11"/>
  <c r="H87" i="11" s="1"/>
  <c r="BE5" i="11"/>
  <c r="BE6" i="11" s="1"/>
  <c r="BF5" i="11" l="1"/>
  <c r="BF6" i="11" l="1"/>
  <c r="E88" i="11"/>
  <c r="BF4" i="11"/>
  <c r="BG5" i="11"/>
  <c r="BG6" i="11" s="1"/>
  <c r="BH5" i="11" l="1"/>
  <c r="BH6" i="11" s="1"/>
  <c r="BI5" i="11" l="1"/>
  <c r="BI6" i="11" s="1"/>
  <c r="BJ5" i="11" l="1"/>
  <c r="BJ6" i="11" l="1"/>
  <c r="F88" i="11"/>
  <c r="BK5" i="11"/>
  <c r="BK6" i="11" s="1"/>
  <c r="E89" i="11" l="1"/>
  <c r="E79" i="11" s="1"/>
  <c r="F79" i="11" s="1"/>
  <c r="F89" i="11"/>
  <c r="H88" i="11"/>
  <c r="BL5" i="11"/>
  <c r="BM5" i="11" s="1"/>
  <c r="BM6" i="11" l="1"/>
  <c r="BN5" i="11"/>
  <c r="BM4" i="11"/>
  <c r="H89" i="11"/>
  <c r="BL6" i="11"/>
  <c r="BO5" i="11" l="1"/>
  <c r="BN6" i="11"/>
  <c r="BO6" i="11" l="1"/>
  <c r="BP5" i="11"/>
  <c r="BQ5" i="11" l="1"/>
  <c r="BP6" i="11"/>
  <c r="BQ6" i="11" l="1"/>
  <c r="BR5" i="11"/>
  <c r="BS5" i="11" l="1"/>
  <c r="BR6" i="11"/>
  <c r="BS6" i="11" l="1"/>
  <c r="BT5" i="11"/>
  <c r="BT6" i="11" l="1"/>
  <c r="BU5" i="11"/>
  <c r="BU6" i="11" l="1"/>
  <c r="BV5" i="11"/>
  <c r="BV6" i="11" l="1"/>
  <c r="BW5" i="11"/>
  <c r="BX5" i="11" l="1"/>
  <c r="BW6" i="11"/>
  <c r="BY5" i="11" l="1"/>
  <c r="BX6" i="11"/>
  <c r="BZ5" i="11" l="1"/>
  <c r="BY6" i="11"/>
  <c r="BY4" i="11"/>
  <c r="BZ6" i="11" l="1"/>
  <c r="CA5" i="11"/>
  <c r="CB5" i="11" l="1"/>
  <c r="CA6" i="11"/>
  <c r="CC5" i="11" l="1"/>
  <c r="CB6" i="11"/>
  <c r="CD5" i="11" l="1"/>
  <c r="CC6" i="11"/>
  <c r="CE5" i="11" l="1"/>
  <c r="CD6" i="11"/>
  <c r="CE6" i="11" l="1"/>
  <c r="CF5" i="11"/>
  <c r="CF6" i="11" l="1"/>
  <c r="CG5" i="11"/>
  <c r="CG6" i="11" l="1"/>
  <c r="CH5" i="11"/>
  <c r="CH6" i="11" l="1"/>
  <c r="CI5" i="11"/>
  <c r="CI6" i="11" l="1"/>
  <c r="CJ5" i="11"/>
  <c r="CJ6" i="11" l="1"/>
  <c r="CK5" i="11"/>
  <c r="CK6" i="11" s="1"/>
</calcChain>
</file>

<file path=xl/sharedStrings.xml><?xml version="1.0" encoding="utf-8"?>
<sst xmlns="http://schemas.openxmlformats.org/spreadsheetml/2006/main" count="124" uniqueCount="111">
  <si>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</si>
  <si>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</si>
  <si>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</si>
  <si>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</si>
  <si>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</si>
  <si>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</si>
  <si>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</si>
  <si>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</si>
  <si>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</si>
  <si>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</si>
  <si>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</si>
  <si>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</si>
  <si>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プロジェクト タイトル</t>
  </si>
  <si>
    <t>会社名</t>
  </si>
  <si>
    <t>プロジェクト主任</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</si>
  <si>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</si>
  <si>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</si>
  <si>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</si>
  <si>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</si>
  <si>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</si>
  <si>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</si>
  <si>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</si>
  <si>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</si>
  <si>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</si>
  <si>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</si>
  <si>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</si>
  <si>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</si>
  <si>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</si>
  <si>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</si>
  <si>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</si>
  <si>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</si>
  <si>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</si>
  <si>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</si>
  <si>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</si>
  <si>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</si>
  <si>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</si>
  <si>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</si>
  <si>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ゲームの設計</t>
    <rPh sb="4" eb="6">
      <t>セッケイ</t>
    </rPh>
    <phoneticPr fontId="26"/>
  </si>
  <si>
    <t>プログラミング</t>
    <phoneticPr fontId="26"/>
  </si>
  <si>
    <t>ホーム画面</t>
    <rPh sb="3" eb="5">
      <t>ガメン</t>
    </rPh>
    <phoneticPr fontId="26"/>
  </si>
  <si>
    <t>ホーム画面BGM</t>
    <rPh sb="3" eb="5">
      <t>ガメン</t>
    </rPh>
    <phoneticPr fontId="26"/>
  </si>
  <si>
    <t>ステージ制作</t>
    <rPh sb="4" eb="6">
      <t>セイサク</t>
    </rPh>
    <phoneticPr fontId="26"/>
  </si>
  <si>
    <t>ステージ</t>
    <phoneticPr fontId="26"/>
  </si>
  <si>
    <t>BGM</t>
    <phoneticPr fontId="26"/>
  </si>
  <si>
    <t>ステージBGM</t>
    <phoneticPr fontId="26"/>
  </si>
  <si>
    <t>UI/その他</t>
    <rPh sb="5" eb="6">
      <t>タ</t>
    </rPh>
    <phoneticPr fontId="26"/>
  </si>
  <si>
    <t>グラフィック</t>
    <phoneticPr fontId="26"/>
  </si>
  <si>
    <t>タイトル</t>
    <phoneticPr fontId="26"/>
  </si>
  <si>
    <t>必要時間</t>
    <rPh sb="0" eb="2">
      <t>ヒツヨウ</t>
    </rPh>
    <rPh sb="2" eb="4">
      <t>ジカン</t>
    </rPh>
    <phoneticPr fontId="26"/>
  </si>
  <si>
    <t>お題</t>
    <rPh sb="1" eb="2">
      <t>ダイ</t>
    </rPh>
    <phoneticPr fontId="26"/>
  </si>
  <si>
    <t>ステージ数決め</t>
    <rPh sb="4" eb="5">
      <t>スウ</t>
    </rPh>
    <rPh sb="5" eb="6">
      <t>キ</t>
    </rPh>
    <phoneticPr fontId="26"/>
  </si>
  <si>
    <t>お題決め</t>
    <rPh sb="1" eb="2">
      <t>ダイ</t>
    </rPh>
    <rPh sb="2" eb="3">
      <t>キ</t>
    </rPh>
    <phoneticPr fontId="26"/>
  </si>
  <si>
    <t>お題の点を制作</t>
    <rPh sb="1" eb="2">
      <t>ダイ</t>
    </rPh>
    <rPh sb="3" eb="4">
      <t>テン</t>
    </rPh>
    <rPh sb="5" eb="7">
      <t>セイサク</t>
    </rPh>
    <phoneticPr fontId="26"/>
  </si>
  <si>
    <t>時間設定</t>
    <rPh sb="0" eb="2">
      <t>ジカン</t>
    </rPh>
    <rPh sb="2" eb="4">
      <t>セッテイ</t>
    </rPh>
    <phoneticPr fontId="26"/>
  </si>
  <si>
    <t>ステージ１の作成</t>
    <rPh sb="6" eb="8">
      <t>サクセイ</t>
    </rPh>
    <phoneticPr fontId="26"/>
  </si>
  <si>
    <t>ステージ１のお題作成</t>
    <rPh sb="7" eb="8">
      <t>ダイ</t>
    </rPh>
    <rPh sb="8" eb="10">
      <t>サクセイ</t>
    </rPh>
    <phoneticPr fontId="26"/>
  </si>
  <si>
    <t>雨粒の配置</t>
    <rPh sb="0" eb="2">
      <t>アマツブ</t>
    </rPh>
    <rPh sb="3" eb="5">
      <t>ハイチ</t>
    </rPh>
    <phoneticPr fontId="26"/>
  </si>
  <si>
    <t>雨粒の作成</t>
    <rPh sb="0" eb="2">
      <t>アマツブ</t>
    </rPh>
    <rPh sb="3" eb="5">
      <t>サクセイ</t>
    </rPh>
    <phoneticPr fontId="26"/>
  </si>
  <si>
    <t>ステージ１のお題の配置</t>
    <rPh sb="7" eb="8">
      <t>ダイ</t>
    </rPh>
    <rPh sb="9" eb="11">
      <t>ハイチ</t>
    </rPh>
    <phoneticPr fontId="26"/>
  </si>
  <si>
    <t>タイマーの作成</t>
    <rPh sb="5" eb="7">
      <t>サクセイ</t>
    </rPh>
    <phoneticPr fontId="26"/>
  </si>
  <si>
    <t>タイマーの配置</t>
    <rPh sb="5" eb="7">
      <t>ハイチ</t>
    </rPh>
    <phoneticPr fontId="26"/>
  </si>
  <si>
    <t>キーボード操作を入れる</t>
    <rPh sb="5" eb="7">
      <t>ソウサ</t>
    </rPh>
    <rPh sb="8" eb="9">
      <t>イ</t>
    </rPh>
    <phoneticPr fontId="26"/>
  </si>
  <si>
    <t>マウス操作を入れる</t>
    <rPh sb="3" eb="5">
      <t>ソウサ</t>
    </rPh>
    <rPh sb="6" eb="7">
      <t>イ</t>
    </rPh>
    <phoneticPr fontId="26"/>
  </si>
  <si>
    <t>つないで線を出す処理</t>
    <rPh sb="4" eb="5">
      <t>セン</t>
    </rPh>
    <rPh sb="6" eb="7">
      <t>ダ</t>
    </rPh>
    <rPh sb="8" eb="10">
      <t>ショリ</t>
    </rPh>
    <phoneticPr fontId="26"/>
  </si>
  <si>
    <t>クリア判定</t>
    <rPh sb="3" eb="5">
      <t>ハンテイ</t>
    </rPh>
    <phoneticPr fontId="26"/>
  </si>
  <si>
    <t>クリア次のステージ２に移行</t>
    <rPh sb="3" eb="4">
      <t>ツギ</t>
    </rPh>
    <rPh sb="11" eb="13">
      <t>イコウ</t>
    </rPh>
    <phoneticPr fontId="26"/>
  </si>
  <si>
    <t>ステージ２のお題制作</t>
    <rPh sb="7" eb="10">
      <t>ダイセイサク</t>
    </rPh>
    <phoneticPr fontId="26"/>
  </si>
  <si>
    <t>つなぐ処理</t>
    <rPh sb="3" eb="5">
      <t>ショリ</t>
    </rPh>
    <phoneticPr fontId="26"/>
  </si>
  <si>
    <t>お題２の配置</t>
    <rPh sb="1" eb="2">
      <t>ダイ</t>
    </rPh>
    <rPh sb="4" eb="6">
      <t>ハイチ</t>
    </rPh>
    <phoneticPr fontId="26"/>
  </si>
  <si>
    <t>ステージ３への移行</t>
    <rPh sb="7" eb="9">
      <t>イコウ</t>
    </rPh>
    <phoneticPr fontId="26"/>
  </si>
  <si>
    <t>お題３の製作</t>
    <rPh sb="1" eb="2">
      <t>ダイ</t>
    </rPh>
    <rPh sb="4" eb="6">
      <t>セイサク</t>
    </rPh>
    <phoneticPr fontId="26"/>
  </si>
  <si>
    <t>お題３の配置</t>
    <rPh sb="1" eb="2">
      <t>ダイ</t>
    </rPh>
    <rPh sb="4" eb="6">
      <t>ハイチ</t>
    </rPh>
    <phoneticPr fontId="26"/>
  </si>
  <si>
    <t>ステージ４に移行</t>
    <rPh sb="6" eb="8">
      <t>イコウ</t>
    </rPh>
    <phoneticPr fontId="26"/>
  </si>
  <si>
    <t>お題４の製作</t>
    <rPh sb="1" eb="2">
      <t>ダイ</t>
    </rPh>
    <rPh sb="4" eb="6">
      <t>セイサク</t>
    </rPh>
    <phoneticPr fontId="26"/>
  </si>
  <si>
    <t>お題４の配置</t>
    <rPh sb="1" eb="2">
      <t>ダイ</t>
    </rPh>
    <rPh sb="4" eb="6">
      <t>ハイチ</t>
    </rPh>
    <phoneticPr fontId="26"/>
  </si>
  <si>
    <t>ステージ５に移行</t>
    <rPh sb="6" eb="8">
      <t>イコウ</t>
    </rPh>
    <phoneticPr fontId="26"/>
  </si>
  <si>
    <t>お題５の製作</t>
    <rPh sb="1" eb="2">
      <t>ダイ</t>
    </rPh>
    <rPh sb="4" eb="6">
      <t>セイサク</t>
    </rPh>
    <phoneticPr fontId="26"/>
  </si>
  <si>
    <t>お題５の配置</t>
    <rPh sb="1" eb="2">
      <t>ダイ</t>
    </rPh>
    <rPh sb="4" eb="6">
      <t>ハイチ</t>
    </rPh>
    <phoneticPr fontId="26"/>
  </si>
  <si>
    <t>エンディングに移行</t>
    <rPh sb="7" eb="9">
      <t>イコウ</t>
    </rPh>
    <phoneticPr fontId="26"/>
  </si>
  <si>
    <t>エンディングBGM</t>
    <phoneticPr fontId="26"/>
  </si>
  <si>
    <t>エンディングからタイトルへの移行</t>
    <rPh sb="14" eb="16">
      <t>イコウ</t>
    </rPh>
    <phoneticPr fontId="26"/>
  </si>
  <si>
    <t>プレイヤー（視点）を入れる</t>
    <rPh sb="6" eb="8">
      <t>シテン</t>
    </rPh>
    <rPh sb="10" eb="11">
      <t>イ</t>
    </rPh>
    <phoneticPr fontId="26"/>
  </si>
  <si>
    <t>プレイヤーの指を入れる</t>
    <rPh sb="6" eb="7">
      <t>ユビ</t>
    </rPh>
    <rPh sb="8" eb="9">
      <t>イ</t>
    </rPh>
    <phoneticPr fontId="26"/>
  </si>
  <si>
    <t>雨粒</t>
    <rPh sb="0" eb="2">
      <t>アマツブ</t>
    </rPh>
    <phoneticPr fontId="26"/>
  </si>
  <si>
    <t>タイトルの追加</t>
    <rPh sb="5" eb="7">
      <t>ツイカ</t>
    </rPh>
    <phoneticPr fontId="26"/>
  </si>
  <si>
    <t>タイトルからステージに移行</t>
    <rPh sb="11" eb="13">
      <t>イコウ</t>
    </rPh>
    <phoneticPr fontId="26"/>
  </si>
  <si>
    <t>タイトルにステージボタンの追加</t>
    <rPh sb="13" eb="15">
      <t>ツイカ</t>
    </rPh>
    <phoneticPr fontId="26"/>
  </si>
  <si>
    <t>エンディング</t>
    <phoneticPr fontId="26"/>
  </si>
  <si>
    <t>主人公（指）</t>
    <rPh sb="0" eb="3">
      <t>シュジンコウ</t>
    </rPh>
    <rPh sb="4" eb="5">
      <t>ユビ</t>
    </rPh>
    <phoneticPr fontId="26"/>
  </si>
  <si>
    <t>線</t>
    <rPh sb="0" eb="1">
      <t>セン</t>
    </rPh>
    <phoneticPr fontId="26"/>
  </si>
  <si>
    <t>リトライ判定</t>
    <phoneticPr fontId="26"/>
  </si>
  <si>
    <t>お題２のクリア判定</t>
    <rPh sb="1" eb="2">
      <t>ダイ</t>
    </rPh>
    <rPh sb="7" eb="9">
      <t>ハンテイ</t>
    </rPh>
    <phoneticPr fontId="26"/>
  </si>
  <si>
    <t>お題２のリトライ判定</t>
    <rPh sb="1" eb="2">
      <t>ダイ</t>
    </rPh>
    <rPh sb="8" eb="10">
      <t>ハンテイ</t>
    </rPh>
    <phoneticPr fontId="26"/>
  </si>
  <si>
    <t>お題３のクリア判定</t>
    <rPh sb="1" eb="2">
      <t>ダイ</t>
    </rPh>
    <rPh sb="7" eb="9">
      <t>ハンテイ</t>
    </rPh>
    <phoneticPr fontId="26"/>
  </si>
  <si>
    <t>お題３のリトライ判定</t>
    <rPh sb="1" eb="2">
      <t>ダイ</t>
    </rPh>
    <rPh sb="8" eb="10">
      <t>ハンテイ</t>
    </rPh>
    <phoneticPr fontId="26"/>
  </si>
  <si>
    <t>リトライ処理</t>
    <rPh sb="4" eb="6">
      <t>ショリ</t>
    </rPh>
    <phoneticPr fontId="26"/>
  </si>
  <si>
    <t>リザルト</t>
    <phoneticPr fontId="26"/>
  </si>
  <si>
    <t>お題４のクリア判定</t>
    <rPh sb="1" eb="2">
      <t>ダイ</t>
    </rPh>
    <rPh sb="7" eb="9">
      <t>ハンテイ</t>
    </rPh>
    <phoneticPr fontId="26"/>
  </si>
  <si>
    <t>お題４のリトライ判定</t>
    <rPh sb="1" eb="2">
      <t>ダイ</t>
    </rPh>
    <rPh sb="8" eb="10">
      <t>ハンテイ</t>
    </rPh>
    <phoneticPr fontId="26"/>
  </si>
  <si>
    <t>お題５のクリア判定</t>
    <rPh sb="1" eb="2">
      <t>ダイ</t>
    </rPh>
    <rPh sb="7" eb="9">
      <t>ハンテイ</t>
    </rPh>
    <phoneticPr fontId="26"/>
  </si>
  <si>
    <t>お題５のリトライ判定</t>
    <rPh sb="1" eb="2">
      <t>ダイ</t>
    </rPh>
    <rPh sb="8" eb="10">
      <t>ハンテイ</t>
    </rPh>
    <phoneticPr fontId="26"/>
  </si>
  <si>
    <t>タイトルから操作説明に移行ボタン</t>
    <rPh sb="6" eb="8">
      <t>ソウサ</t>
    </rPh>
    <rPh sb="8" eb="10">
      <t>セツメイ</t>
    </rPh>
    <rPh sb="11" eb="13">
      <t>イコウ</t>
    </rPh>
    <phoneticPr fontId="26"/>
  </si>
  <si>
    <t>操作説明追加</t>
    <rPh sb="0" eb="2">
      <t>ソウサ</t>
    </rPh>
    <rPh sb="2" eb="4">
      <t>セツメイ</t>
    </rPh>
    <rPh sb="4" eb="6">
      <t>ツイカ</t>
    </rPh>
    <phoneticPr fontId="26"/>
  </si>
  <si>
    <t>エンディング制作</t>
    <rPh sb="6" eb="8">
      <t>セイサク</t>
    </rPh>
    <phoneticPr fontId="26"/>
  </si>
  <si>
    <t>リザルトBGM</t>
    <phoneticPr fontId="26"/>
  </si>
  <si>
    <t>操作説明</t>
    <rPh sb="0" eb="2">
      <t>ソウサ</t>
    </rPh>
    <rPh sb="2" eb="4">
      <t>セツメイ</t>
    </rPh>
    <phoneticPr fontId="26"/>
  </si>
  <si>
    <t>りおｔ</t>
    <phoneticPr fontId="26"/>
  </si>
  <si>
    <t>雨粒の追加処理</t>
    <rPh sb="0" eb="2">
      <t>アマツブ</t>
    </rPh>
    <rPh sb="3" eb="5">
      <t>ツイカ</t>
    </rPh>
    <rPh sb="5" eb="7">
      <t>ショリ</t>
    </rPh>
    <phoneticPr fontId="26"/>
  </si>
  <si>
    <t>制限時間の処理</t>
    <rPh sb="0" eb="4">
      <t>セイゲンジカン</t>
    </rPh>
    <rPh sb="5" eb="7">
      <t>ショリ</t>
    </rPh>
    <phoneticPr fontId="26"/>
  </si>
  <si>
    <t>操作テスト</t>
    <rPh sb="0" eb="2">
      <t>ソウサ</t>
    </rPh>
    <phoneticPr fontId="26"/>
  </si>
  <si>
    <t>改善</t>
    <rPh sb="0" eb="2">
      <t>カイゼン</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</si>
</sst>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6"/>
      <color theme="1"/>
      <name val="HGS創英角ﾎﾟｯﾌﾟ体"/>
      <family val="3"/>
      <charset val="128"/>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91">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7" fillId="44" borderId="2" xfId="0" applyFont="1" applyFill="1" applyBorder="1" applyAlignment="1">
      <alignment horizontal="left" vertical="center" indent="1"/>
    </xf>
    <xf numFmtId="0" fontId="1" fillId="44" borderId="2" xfId="11" applyFill="1">
      <alignment horizontal="center" vertical="center"/>
    </xf>
    <xf numFmtId="9" fontId="25" fillId="44" borderId="2" xfId="2" applyFont="1" applyFill="1" applyBorder="1" applyAlignment="1">
      <alignment horizontal="center" vertical="center"/>
    </xf>
    <xf numFmtId="178" fontId="0" fillId="44" borderId="2" xfId="0" applyNumberFormat="1" applyFill="1" applyBorder="1" applyAlignment="1">
      <alignment horizontal="center" vertical="center"/>
    </xf>
    <xf numFmtId="178" fontId="25" fillId="44" borderId="2" xfId="0" applyNumberFormat="1" applyFont="1" applyFill="1" applyBorder="1" applyAlignment="1">
      <alignment horizontal="center" vertical="center"/>
    </xf>
    <xf numFmtId="0" fontId="2" fillId="45" borderId="0" xfId="3" applyFill="1"/>
    <xf numFmtId="0" fontId="25" fillId="45" borderId="2" xfId="0" applyFont="1" applyFill="1" applyBorder="1" applyAlignment="1">
      <alignment horizontal="center" vertical="center"/>
    </xf>
    <xf numFmtId="0" fontId="0" fillId="45" borderId="9" xfId="0" applyFill="1" applyBorder="1" applyAlignment="1">
      <alignment vertical="center"/>
    </xf>
    <xf numFmtId="0" fontId="0" fillId="45" borderId="0" xfId="0" applyFill="1" applyAlignment="1">
      <alignment vertical="center"/>
    </xf>
    <xf numFmtId="0" fontId="37" fillId="44" borderId="2" xfId="0" applyFont="1" applyFill="1" applyBorder="1" applyAlignment="1">
      <alignment horizontal="left" vertical="center" indent="1"/>
    </xf>
    <xf numFmtId="0" fontId="18" fillId="45" borderId="9" xfId="0" applyFont="1" applyFill="1" applyBorder="1" applyAlignment="1">
      <alignment vertical="center"/>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19">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18"/>
      <tableStyleElement type="headerRow" dxfId="217"/>
      <tableStyleElement type="totalRow" dxfId="216"/>
      <tableStyleElement type="firstColumn" dxfId="215"/>
      <tableStyleElement type="lastColumn" dxfId="214"/>
      <tableStyleElement type="firstRowStripe" dxfId="213"/>
      <tableStyleElement type="secondRowStripe" dxfId="212"/>
      <tableStyleElement type="firstColumnStripe" dxfId="211"/>
      <tableStyleElement type="secondColumnStripe" dxfId="2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K89"/>
  <sheetViews>
    <sheetView showGridLines="0" tabSelected="1" showRuler="0" zoomScaleNormal="100" zoomScalePageLayoutView="70" workbookViewId="0">
      <pane ySplit="6" topLeftCell="A89" activePane="bottomLeft" state="frozen"/>
      <selection pane="bottomLeft" activeCell="F81" sqref="F81"/>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89" width="2.453125" customWidth="1"/>
  </cols>
  <sheetData>
    <row r="1" spans="1:89" ht="30" customHeight="1" x14ac:dyDescent="0.55000000000000004">
      <c r="A1" s="7" t="s">
        <v>0</v>
      </c>
      <c r="B1" s="9" t="s">
        <v>12</v>
      </c>
      <c r="C1" s="25"/>
      <c r="D1" s="26"/>
      <c r="E1" s="27"/>
      <c r="F1" s="28"/>
      <c r="H1" s="26"/>
      <c r="I1" s="29" t="s">
        <v>22</v>
      </c>
    </row>
    <row r="2" spans="1:89" ht="30" customHeight="1" x14ac:dyDescent="0.35">
      <c r="A2" s="6" t="s">
        <v>1</v>
      </c>
      <c r="B2" s="10" t="s">
        <v>13</v>
      </c>
      <c r="I2" s="30" t="s">
        <v>23</v>
      </c>
    </row>
    <row r="3" spans="1:89" ht="30" customHeight="1" x14ac:dyDescent="0.3">
      <c r="A3" s="6" t="s">
        <v>2</v>
      </c>
      <c r="B3" s="11" t="s">
        <v>14</v>
      </c>
      <c r="C3" s="89" t="s">
        <v>16</v>
      </c>
      <c r="D3" s="90"/>
      <c r="E3" s="88">
        <v>46314</v>
      </c>
      <c r="F3" s="88"/>
    </row>
    <row r="4" spans="1:89" ht="30" customHeight="1" x14ac:dyDescent="0.3">
      <c r="A4" s="7" t="s">
        <v>3</v>
      </c>
      <c r="C4" s="89" t="s">
        <v>17</v>
      </c>
      <c r="D4" s="90"/>
      <c r="E4" s="3">
        <v>1</v>
      </c>
      <c r="I4" s="85">
        <f>I5</f>
        <v>46314</v>
      </c>
      <c r="J4" s="86"/>
      <c r="K4" s="86"/>
      <c r="L4" s="86"/>
      <c r="M4" s="86"/>
      <c r="N4" s="86"/>
      <c r="O4" s="87"/>
      <c r="P4" s="85">
        <f>P5</f>
        <v>46321</v>
      </c>
      <c r="Q4" s="86"/>
      <c r="R4" s="86"/>
      <c r="S4" s="86"/>
      <c r="T4" s="86"/>
      <c r="U4" s="86"/>
      <c r="V4" s="87"/>
      <c r="W4" s="85">
        <f>W5</f>
        <v>46328</v>
      </c>
      <c r="X4" s="86"/>
      <c r="Y4" s="86"/>
      <c r="Z4" s="86"/>
      <c r="AA4" s="86"/>
      <c r="AB4" s="86"/>
      <c r="AC4" s="87"/>
      <c r="AD4" s="85">
        <f>AD5</f>
        <v>46335</v>
      </c>
      <c r="AE4" s="86"/>
      <c r="AF4" s="86"/>
      <c r="AG4" s="86"/>
      <c r="AH4" s="86"/>
      <c r="AI4" s="86"/>
      <c r="AJ4" s="87"/>
      <c r="AK4" s="85">
        <f>AK5</f>
        <v>46342</v>
      </c>
      <c r="AL4" s="86"/>
      <c r="AM4" s="86"/>
      <c r="AN4" s="86"/>
      <c r="AO4" s="86"/>
      <c r="AP4" s="86"/>
      <c r="AQ4" s="87"/>
      <c r="AR4" s="85">
        <f>AR5</f>
        <v>46349</v>
      </c>
      <c r="AS4" s="86"/>
      <c r="AT4" s="86"/>
      <c r="AU4" s="86"/>
      <c r="AV4" s="86"/>
      <c r="AW4" s="86"/>
      <c r="AX4" s="87"/>
      <c r="AY4" s="85">
        <f>AY5</f>
        <v>46356</v>
      </c>
      <c r="AZ4" s="86"/>
      <c r="BA4" s="86"/>
      <c r="BB4" s="86"/>
      <c r="BC4" s="86"/>
      <c r="BD4" s="86"/>
      <c r="BE4" s="87"/>
      <c r="BF4" s="85">
        <f>BF5</f>
        <v>46363</v>
      </c>
      <c r="BG4" s="86"/>
      <c r="BH4" s="86"/>
      <c r="BI4" s="86"/>
      <c r="BJ4" s="86"/>
      <c r="BK4" s="86"/>
      <c r="BL4" s="87"/>
      <c r="BM4" s="85">
        <f>BM5</f>
        <v>46370</v>
      </c>
      <c r="BN4" s="86"/>
      <c r="BO4" s="86"/>
      <c r="BP4" s="86"/>
      <c r="BQ4" s="86"/>
      <c r="BR4" s="86"/>
      <c r="BS4" s="87"/>
      <c r="BY4" s="85">
        <f>BY5</f>
        <v>46382</v>
      </c>
      <c r="BZ4" s="86"/>
      <c r="CA4" s="86"/>
      <c r="CB4" s="86"/>
      <c r="CC4" s="86"/>
      <c r="CD4" s="86"/>
      <c r="CE4" s="87"/>
    </row>
    <row r="5" spans="1:89" ht="15" customHeight="1" x14ac:dyDescent="0.3">
      <c r="A5" s="7" t="s">
        <v>4</v>
      </c>
      <c r="B5" s="24"/>
      <c r="C5" s="24"/>
      <c r="D5" s="24"/>
      <c r="E5" s="24"/>
      <c r="F5" s="24"/>
      <c r="G5" s="24"/>
      <c r="I5" s="71">
        <f>プロジェクトの開始-WEEKDAY(プロジェクトの開始,1)+2+7*(週表示-1)</f>
        <v>46314</v>
      </c>
      <c r="J5" s="72">
        <f>I5+1</f>
        <v>46315</v>
      </c>
      <c r="K5" s="72">
        <f t="shared" ref="K5:AX5" si="0">J5+1</f>
        <v>46316</v>
      </c>
      <c r="L5" s="72">
        <f t="shared" si="0"/>
        <v>46317</v>
      </c>
      <c r="M5" s="72">
        <f t="shared" si="0"/>
        <v>46318</v>
      </c>
      <c r="N5" s="72">
        <f t="shared" si="0"/>
        <v>46319</v>
      </c>
      <c r="O5" s="73">
        <f t="shared" si="0"/>
        <v>46320</v>
      </c>
      <c r="P5" s="71">
        <f>O5+1</f>
        <v>46321</v>
      </c>
      <c r="Q5" s="72">
        <f>P5+1</f>
        <v>46322</v>
      </c>
      <c r="R5" s="72">
        <f t="shared" si="0"/>
        <v>46323</v>
      </c>
      <c r="S5" s="72">
        <f t="shared" si="0"/>
        <v>46324</v>
      </c>
      <c r="T5" s="72">
        <f t="shared" si="0"/>
        <v>46325</v>
      </c>
      <c r="U5" s="72">
        <f t="shared" si="0"/>
        <v>46326</v>
      </c>
      <c r="V5" s="73">
        <f t="shared" si="0"/>
        <v>46327</v>
      </c>
      <c r="W5" s="71">
        <f>V5+1</f>
        <v>46328</v>
      </c>
      <c r="X5" s="72">
        <f>W5+1</f>
        <v>46329</v>
      </c>
      <c r="Y5" s="72">
        <f t="shared" si="0"/>
        <v>46330</v>
      </c>
      <c r="Z5" s="72">
        <f t="shared" si="0"/>
        <v>46331</v>
      </c>
      <c r="AA5" s="72">
        <f t="shared" si="0"/>
        <v>46332</v>
      </c>
      <c r="AB5" s="72">
        <f t="shared" si="0"/>
        <v>46333</v>
      </c>
      <c r="AC5" s="73">
        <f t="shared" si="0"/>
        <v>46334</v>
      </c>
      <c r="AD5" s="71">
        <f>AC5+1</f>
        <v>46335</v>
      </c>
      <c r="AE5" s="72">
        <f>AD5+1</f>
        <v>46336</v>
      </c>
      <c r="AF5" s="72">
        <f t="shared" si="0"/>
        <v>46337</v>
      </c>
      <c r="AG5" s="72">
        <f t="shared" si="0"/>
        <v>46338</v>
      </c>
      <c r="AH5" s="72">
        <f t="shared" si="0"/>
        <v>46339</v>
      </c>
      <c r="AI5" s="72">
        <f t="shared" si="0"/>
        <v>46340</v>
      </c>
      <c r="AJ5" s="73">
        <f t="shared" si="0"/>
        <v>46341</v>
      </c>
      <c r="AK5" s="71">
        <f>AJ5+1</f>
        <v>46342</v>
      </c>
      <c r="AL5" s="72">
        <f>AK5+1</f>
        <v>46343</v>
      </c>
      <c r="AM5" s="72">
        <f t="shared" si="0"/>
        <v>46344</v>
      </c>
      <c r="AN5" s="72">
        <f t="shared" si="0"/>
        <v>46345</v>
      </c>
      <c r="AO5" s="72">
        <f t="shared" si="0"/>
        <v>46346</v>
      </c>
      <c r="AP5" s="72">
        <f t="shared" si="0"/>
        <v>46347</v>
      </c>
      <c r="AQ5" s="73">
        <f t="shared" si="0"/>
        <v>46348</v>
      </c>
      <c r="AR5" s="71">
        <f>AQ5+1</f>
        <v>46349</v>
      </c>
      <c r="AS5" s="72">
        <f>AR5+1</f>
        <v>46350</v>
      </c>
      <c r="AT5" s="72">
        <f t="shared" si="0"/>
        <v>46351</v>
      </c>
      <c r="AU5" s="72">
        <f t="shared" si="0"/>
        <v>46352</v>
      </c>
      <c r="AV5" s="72">
        <f t="shared" si="0"/>
        <v>46353</v>
      </c>
      <c r="AW5" s="72">
        <f t="shared" si="0"/>
        <v>46354</v>
      </c>
      <c r="AX5" s="73">
        <f t="shared" si="0"/>
        <v>46355</v>
      </c>
      <c r="AY5" s="71">
        <f>AX5+1</f>
        <v>46356</v>
      </c>
      <c r="AZ5" s="72">
        <f>AY5+1</f>
        <v>46357</v>
      </c>
      <c r="BA5" s="72">
        <f t="shared" ref="BA5:BE5" si="1">AZ5+1</f>
        <v>46358</v>
      </c>
      <c r="BB5" s="72">
        <f t="shared" si="1"/>
        <v>46359</v>
      </c>
      <c r="BC5" s="72">
        <f t="shared" si="1"/>
        <v>46360</v>
      </c>
      <c r="BD5" s="72">
        <f t="shared" si="1"/>
        <v>46361</v>
      </c>
      <c r="BE5" s="73">
        <f t="shared" si="1"/>
        <v>46362</v>
      </c>
      <c r="BF5" s="71">
        <f>BE5+1</f>
        <v>46363</v>
      </c>
      <c r="BG5" s="72">
        <f>BF5+1</f>
        <v>46364</v>
      </c>
      <c r="BH5" s="72">
        <f t="shared" ref="BH5:BL5" si="2">BG5+1</f>
        <v>46365</v>
      </c>
      <c r="BI5" s="72">
        <f t="shared" si="2"/>
        <v>46366</v>
      </c>
      <c r="BJ5" s="72">
        <f t="shared" si="2"/>
        <v>46367</v>
      </c>
      <c r="BK5" s="72">
        <f t="shared" si="2"/>
        <v>46368</v>
      </c>
      <c r="BL5" s="73">
        <f t="shared" si="2"/>
        <v>46369</v>
      </c>
      <c r="BM5" s="71">
        <f>BL5+1</f>
        <v>46370</v>
      </c>
      <c r="BN5" s="72">
        <f>BM5+1</f>
        <v>46371</v>
      </c>
      <c r="BO5" s="72">
        <f t="shared" ref="BO5" si="3">BN5+1</f>
        <v>46372</v>
      </c>
      <c r="BP5" s="72">
        <f t="shared" ref="BP5" si="4">BO5+1</f>
        <v>46373</v>
      </c>
      <c r="BQ5" s="72">
        <f t="shared" ref="BQ5" si="5">BP5+1</f>
        <v>46374</v>
      </c>
      <c r="BR5" s="72">
        <f t="shared" ref="BR5" si="6">BQ5+1</f>
        <v>46375</v>
      </c>
      <c r="BS5" s="71">
        <f>BR5+1</f>
        <v>46376</v>
      </c>
      <c r="BT5" s="72">
        <f>BS5+1</f>
        <v>46377</v>
      </c>
      <c r="BU5" s="72">
        <f t="shared" ref="BU5" si="7">BT5+1</f>
        <v>46378</v>
      </c>
      <c r="BV5" s="72">
        <f t="shared" ref="BV5" si="8">BU5+1</f>
        <v>46379</v>
      </c>
      <c r="BW5" s="72">
        <f t="shared" ref="BW5" si="9">BV5+1</f>
        <v>46380</v>
      </c>
      <c r="BX5" s="72">
        <f t="shared" ref="BX5" si="10">BW5+1</f>
        <v>46381</v>
      </c>
      <c r="BY5" s="71">
        <f>BX5+1</f>
        <v>46382</v>
      </c>
      <c r="BZ5" s="72">
        <f>BY5+1</f>
        <v>46383</v>
      </c>
      <c r="CA5" s="72">
        <f t="shared" ref="CA5" si="11">BZ5+1</f>
        <v>46384</v>
      </c>
      <c r="CB5" s="72">
        <f t="shared" ref="CB5" si="12">CA5+1</f>
        <v>46385</v>
      </c>
      <c r="CC5" s="72">
        <f t="shared" ref="CC5" si="13">CB5+1</f>
        <v>46386</v>
      </c>
      <c r="CD5" s="72">
        <f t="shared" ref="CD5" si="14">CC5+1</f>
        <v>46387</v>
      </c>
      <c r="CE5" s="71">
        <f>CD5+1</f>
        <v>46388</v>
      </c>
      <c r="CF5" s="72">
        <f>CE5+1</f>
        <v>46389</v>
      </c>
      <c r="CG5" s="72">
        <f t="shared" ref="CG5" si="15">CF5+1</f>
        <v>46390</v>
      </c>
      <c r="CH5" s="72">
        <f t="shared" ref="CH5" si="16">CG5+1</f>
        <v>46391</v>
      </c>
      <c r="CI5" s="72">
        <f t="shared" ref="CI5" si="17">CH5+1</f>
        <v>46392</v>
      </c>
      <c r="CJ5" s="72">
        <f t="shared" ref="CJ5" si="18">CI5+1</f>
        <v>46393</v>
      </c>
      <c r="CK5" s="73">
        <f t="shared" ref="CK5" si="19">CJ5+1</f>
        <v>46394</v>
      </c>
    </row>
    <row r="6" spans="1:89" ht="30" customHeight="1" thickBot="1" x14ac:dyDescent="0.35">
      <c r="A6" s="7" t="s">
        <v>5</v>
      </c>
      <c r="B6" s="31" t="s">
        <v>15</v>
      </c>
      <c r="C6" s="32" t="s">
        <v>48</v>
      </c>
      <c r="D6" s="32" t="s">
        <v>18</v>
      </c>
      <c r="E6" s="32" t="s">
        <v>19</v>
      </c>
      <c r="F6" s="32" t="s">
        <v>20</v>
      </c>
      <c r="G6" s="32"/>
      <c r="H6" s="32" t="s">
        <v>21</v>
      </c>
      <c r="I6" s="33" t="str">
        <f t="shared" ref="I6:AN6" si="20">LEFT(TEXT(I5,"aaa"),1)</f>
        <v>月</v>
      </c>
      <c r="J6" s="33" t="str">
        <f t="shared" si="20"/>
        <v>火</v>
      </c>
      <c r="K6" s="33" t="str">
        <f t="shared" si="20"/>
        <v>水</v>
      </c>
      <c r="L6" s="33" t="str">
        <f t="shared" si="20"/>
        <v>木</v>
      </c>
      <c r="M6" s="33" t="str">
        <f t="shared" si="20"/>
        <v>金</v>
      </c>
      <c r="N6" s="33" t="str">
        <f t="shared" si="20"/>
        <v>土</v>
      </c>
      <c r="O6" s="33" t="str">
        <f t="shared" si="20"/>
        <v>日</v>
      </c>
      <c r="P6" s="33" t="str">
        <f t="shared" si="20"/>
        <v>月</v>
      </c>
      <c r="Q6" s="33" t="str">
        <f t="shared" si="20"/>
        <v>火</v>
      </c>
      <c r="R6" s="33" t="str">
        <f t="shared" si="20"/>
        <v>水</v>
      </c>
      <c r="S6" s="33" t="str">
        <f t="shared" si="20"/>
        <v>木</v>
      </c>
      <c r="T6" s="33" t="str">
        <f t="shared" si="20"/>
        <v>金</v>
      </c>
      <c r="U6" s="33" t="str">
        <f t="shared" si="20"/>
        <v>土</v>
      </c>
      <c r="V6" s="33" t="str">
        <f t="shared" si="20"/>
        <v>日</v>
      </c>
      <c r="W6" s="33" t="str">
        <f t="shared" si="20"/>
        <v>月</v>
      </c>
      <c r="X6" s="33" t="str">
        <f t="shared" si="20"/>
        <v>火</v>
      </c>
      <c r="Y6" s="33" t="str">
        <f t="shared" si="20"/>
        <v>水</v>
      </c>
      <c r="Z6" s="33" t="str">
        <f t="shared" si="20"/>
        <v>木</v>
      </c>
      <c r="AA6" s="33" t="str">
        <f t="shared" si="20"/>
        <v>金</v>
      </c>
      <c r="AB6" s="33" t="str">
        <f t="shared" si="20"/>
        <v>土</v>
      </c>
      <c r="AC6" s="33" t="str">
        <f t="shared" si="20"/>
        <v>日</v>
      </c>
      <c r="AD6" s="33" t="str">
        <f t="shared" si="20"/>
        <v>月</v>
      </c>
      <c r="AE6" s="33" t="str">
        <f t="shared" si="20"/>
        <v>火</v>
      </c>
      <c r="AF6" s="33" t="str">
        <f t="shared" si="20"/>
        <v>水</v>
      </c>
      <c r="AG6" s="33" t="str">
        <f t="shared" si="20"/>
        <v>木</v>
      </c>
      <c r="AH6" s="33" t="str">
        <f t="shared" si="20"/>
        <v>金</v>
      </c>
      <c r="AI6" s="33" t="str">
        <f t="shared" si="20"/>
        <v>土</v>
      </c>
      <c r="AJ6" s="33" t="str">
        <f t="shared" si="20"/>
        <v>日</v>
      </c>
      <c r="AK6" s="33" t="str">
        <f t="shared" si="20"/>
        <v>月</v>
      </c>
      <c r="AL6" s="33" t="str">
        <f t="shared" si="20"/>
        <v>火</v>
      </c>
      <c r="AM6" s="33" t="str">
        <f t="shared" si="20"/>
        <v>水</v>
      </c>
      <c r="AN6" s="33" t="str">
        <f t="shared" si="20"/>
        <v>木</v>
      </c>
      <c r="AO6" s="33" t="str">
        <f t="shared" ref="AO6:BL6" si="21">LEFT(TEXT(AO5,"aaa"),1)</f>
        <v>金</v>
      </c>
      <c r="AP6" s="33" t="str">
        <f t="shared" si="21"/>
        <v>土</v>
      </c>
      <c r="AQ6" s="33" t="str">
        <f t="shared" si="21"/>
        <v>日</v>
      </c>
      <c r="AR6" s="33" t="str">
        <f t="shared" si="21"/>
        <v>月</v>
      </c>
      <c r="AS6" s="33" t="str">
        <f t="shared" si="21"/>
        <v>火</v>
      </c>
      <c r="AT6" s="33" t="str">
        <f t="shared" si="21"/>
        <v>水</v>
      </c>
      <c r="AU6" s="33" t="str">
        <f t="shared" si="21"/>
        <v>木</v>
      </c>
      <c r="AV6" s="33" t="str">
        <f t="shared" si="21"/>
        <v>金</v>
      </c>
      <c r="AW6" s="33" t="str">
        <f t="shared" si="21"/>
        <v>土</v>
      </c>
      <c r="AX6" s="33" t="str">
        <f t="shared" si="21"/>
        <v>日</v>
      </c>
      <c r="AY6" s="33" t="str">
        <f t="shared" si="21"/>
        <v>月</v>
      </c>
      <c r="AZ6" s="33" t="str">
        <f t="shared" si="21"/>
        <v>火</v>
      </c>
      <c r="BA6" s="33" t="str">
        <f t="shared" si="21"/>
        <v>水</v>
      </c>
      <c r="BB6" s="33" t="str">
        <f t="shared" si="21"/>
        <v>木</v>
      </c>
      <c r="BC6" s="33" t="str">
        <f t="shared" si="21"/>
        <v>金</v>
      </c>
      <c r="BD6" s="33" t="str">
        <f t="shared" si="21"/>
        <v>土</v>
      </c>
      <c r="BE6" s="33" t="str">
        <f t="shared" si="21"/>
        <v>日</v>
      </c>
      <c r="BF6" s="33" t="str">
        <f t="shared" si="21"/>
        <v>月</v>
      </c>
      <c r="BG6" s="33" t="str">
        <f t="shared" si="21"/>
        <v>火</v>
      </c>
      <c r="BH6" s="33" t="str">
        <f t="shared" si="21"/>
        <v>水</v>
      </c>
      <c r="BI6" s="33" t="str">
        <f t="shared" si="21"/>
        <v>木</v>
      </c>
      <c r="BJ6" s="33" t="str">
        <f t="shared" si="21"/>
        <v>金</v>
      </c>
      <c r="BK6" s="33" t="str">
        <f t="shared" si="21"/>
        <v>土</v>
      </c>
      <c r="BL6" s="33" t="str">
        <f t="shared" si="21"/>
        <v>日</v>
      </c>
      <c r="BM6" s="33" t="str">
        <f t="shared" ref="BM6:CK6" si="22">LEFT(TEXT(BM5,"aaa"),1)</f>
        <v>月</v>
      </c>
      <c r="BN6" s="33" t="str">
        <f t="shared" si="22"/>
        <v>火</v>
      </c>
      <c r="BO6" s="33" t="str">
        <f t="shared" si="22"/>
        <v>水</v>
      </c>
      <c r="BP6" s="33" t="str">
        <f t="shared" si="22"/>
        <v>木</v>
      </c>
      <c r="BQ6" s="33" t="str">
        <f t="shared" si="22"/>
        <v>金</v>
      </c>
      <c r="BR6" s="33" t="str">
        <f t="shared" si="22"/>
        <v>土</v>
      </c>
      <c r="BS6" s="33" t="str">
        <f t="shared" si="22"/>
        <v>日</v>
      </c>
      <c r="BT6" s="33" t="str">
        <f t="shared" si="22"/>
        <v>月</v>
      </c>
      <c r="BU6" s="33" t="str">
        <f t="shared" si="22"/>
        <v>火</v>
      </c>
      <c r="BV6" s="33" t="str">
        <f t="shared" si="22"/>
        <v>水</v>
      </c>
      <c r="BW6" s="33" t="str">
        <f t="shared" si="22"/>
        <v>木</v>
      </c>
      <c r="BX6" s="33" t="str">
        <f t="shared" si="22"/>
        <v>金</v>
      </c>
      <c r="BY6" s="33" t="str">
        <f t="shared" si="22"/>
        <v>土</v>
      </c>
      <c r="BZ6" s="33" t="str">
        <f t="shared" si="22"/>
        <v>日</v>
      </c>
      <c r="CA6" s="33" t="str">
        <f t="shared" si="22"/>
        <v>月</v>
      </c>
      <c r="CB6" s="33" t="str">
        <f t="shared" si="22"/>
        <v>火</v>
      </c>
      <c r="CC6" s="33" t="str">
        <f t="shared" si="22"/>
        <v>水</v>
      </c>
      <c r="CD6" s="33" t="str">
        <f t="shared" si="22"/>
        <v>木</v>
      </c>
      <c r="CE6" s="33" t="str">
        <f t="shared" si="22"/>
        <v>金</v>
      </c>
      <c r="CF6" s="33" t="str">
        <f t="shared" si="22"/>
        <v>土</v>
      </c>
      <c r="CG6" s="33" t="str">
        <f t="shared" si="22"/>
        <v>日</v>
      </c>
      <c r="CH6" s="33" t="str">
        <f t="shared" si="22"/>
        <v>月</v>
      </c>
      <c r="CI6" s="33" t="str">
        <f t="shared" si="22"/>
        <v>火</v>
      </c>
      <c r="CJ6" s="33" t="str">
        <f t="shared" si="22"/>
        <v>水</v>
      </c>
      <c r="CK6" s="33" t="str">
        <f t="shared" si="22"/>
        <v>木</v>
      </c>
    </row>
    <row r="7" spans="1:89"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row>
    <row r="8" spans="1:89" s="1" customFormat="1" ht="30" customHeight="1" thickBot="1" x14ac:dyDescent="0.35">
      <c r="A8" s="7" t="s">
        <v>7</v>
      </c>
      <c r="B8" s="34" t="s">
        <v>37</v>
      </c>
      <c r="C8" s="12"/>
      <c r="D8" s="35"/>
      <c r="E8" s="59"/>
      <c r="F8" s="60"/>
      <c r="G8" s="36"/>
      <c r="H8" s="36" t="str">
        <f t="shared" ref="H8:H75" si="23">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row>
    <row r="9" spans="1:89" s="1" customFormat="1" ht="30" customHeight="1" thickBot="1" x14ac:dyDescent="0.35">
      <c r="A9" s="7" t="s">
        <v>8</v>
      </c>
      <c r="B9" s="20" t="s">
        <v>50</v>
      </c>
      <c r="C9" s="13"/>
      <c r="D9" s="37"/>
      <c r="E9" s="61">
        <f>プロジェクトの開始</f>
        <v>46314</v>
      </c>
      <c r="F9" s="61">
        <f>J5</f>
        <v>46315</v>
      </c>
      <c r="G9" s="36"/>
      <c r="H9" s="36">
        <f t="shared" si="23"/>
        <v>2</v>
      </c>
      <c r="I9" s="4"/>
      <c r="J9" s="4"/>
      <c r="K9" s="4"/>
      <c r="L9" s="4"/>
      <c r="M9" s="4"/>
      <c r="N9" s="4"/>
      <c r="O9" s="4"/>
      <c r="P9" s="4"/>
      <c r="Q9" s="4"/>
      <c r="R9" s="4"/>
      <c r="S9" s="4"/>
      <c r="T9" s="8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row>
    <row r="10" spans="1:89" s="1" customFormat="1" ht="30" customHeight="1" thickBot="1" x14ac:dyDescent="0.35">
      <c r="A10" s="7" t="s">
        <v>9</v>
      </c>
      <c r="B10" s="20" t="s">
        <v>51</v>
      </c>
      <c r="C10" s="13"/>
      <c r="D10" s="37"/>
      <c r="E10" s="61">
        <f>J5</f>
        <v>46315</v>
      </c>
      <c r="F10" s="61">
        <f>K5</f>
        <v>46316</v>
      </c>
      <c r="G10" s="36"/>
      <c r="H10" s="36">
        <f t="shared" si="23"/>
        <v>2</v>
      </c>
      <c r="I10" s="4"/>
      <c r="J10" s="4"/>
      <c r="K10" s="4"/>
      <c r="L10" s="4"/>
      <c r="M10" s="4"/>
      <c r="N10" s="4"/>
      <c r="O10" s="4"/>
      <c r="P10" s="4"/>
      <c r="Q10" s="4"/>
      <c r="R10" s="4"/>
      <c r="S10" s="4"/>
      <c r="T10" s="4"/>
      <c r="U10" s="5"/>
      <c r="V10" s="5"/>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row>
    <row r="11" spans="1:89" s="1" customFormat="1" ht="30" customHeight="1" thickBot="1" x14ac:dyDescent="0.35">
      <c r="A11" s="6"/>
      <c r="B11" s="20" t="s">
        <v>52</v>
      </c>
      <c r="C11" s="13"/>
      <c r="D11" s="37"/>
      <c r="E11" s="61">
        <f>K5</f>
        <v>46316</v>
      </c>
      <c r="F11" s="61">
        <f>K5</f>
        <v>46316</v>
      </c>
      <c r="G11" s="36"/>
      <c r="H11" s="36">
        <f t="shared" si="23"/>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row>
    <row r="12" spans="1:89" s="1" customFormat="1" ht="30" customHeight="1" thickBot="1" x14ac:dyDescent="0.35">
      <c r="A12" s="6"/>
      <c r="B12" s="20" t="s">
        <v>41</v>
      </c>
      <c r="C12" s="13"/>
      <c r="D12" s="37"/>
      <c r="E12" s="61">
        <f>K5</f>
        <v>46316</v>
      </c>
      <c r="F12" s="61">
        <f>L5</f>
        <v>46317</v>
      </c>
      <c r="G12" s="36"/>
      <c r="H12" s="36">
        <f t="shared" si="23"/>
        <v>2</v>
      </c>
      <c r="I12" s="4"/>
      <c r="J12" s="4"/>
      <c r="K12" s="4"/>
      <c r="L12" s="4"/>
      <c r="M12" s="4"/>
      <c r="N12" s="4"/>
      <c r="O12" s="4"/>
      <c r="P12" s="4"/>
      <c r="Q12" s="4"/>
      <c r="R12" s="4"/>
      <c r="S12" s="4"/>
      <c r="T12" s="4"/>
      <c r="U12" s="4"/>
      <c r="V12" s="4"/>
      <c r="W12" s="4"/>
      <c r="X12" s="4"/>
      <c r="Y12" s="5"/>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row>
    <row r="13" spans="1:89" s="1" customFormat="1" ht="30" customHeight="1" thickBot="1" x14ac:dyDescent="0.35">
      <c r="A13" s="6"/>
      <c r="B13" s="20" t="s">
        <v>56</v>
      </c>
      <c r="C13" s="13"/>
      <c r="D13" s="37"/>
      <c r="E13" s="61">
        <f>L5</f>
        <v>46317</v>
      </c>
      <c r="F13" s="61">
        <f>L5</f>
        <v>46317</v>
      </c>
      <c r="G13" s="36"/>
      <c r="H13" s="36"/>
      <c r="I13" s="4"/>
      <c r="J13" s="4"/>
      <c r="K13" s="4"/>
      <c r="L13" s="4"/>
      <c r="M13" s="4"/>
      <c r="N13" s="4"/>
      <c r="O13" s="4"/>
      <c r="P13" s="4"/>
      <c r="Q13" s="4"/>
      <c r="R13" s="4"/>
      <c r="S13" s="4"/>
      <c r="T13" s="4"/>
      <c r="U13" s="4"/>
      <c r="V13" s="4"/>
      <c r="W13" s="4"/>
      <c r="X13" s="4"/>
      <c r="Y13" s="5"/>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row>
    <row r="14" spans="1:89" s="1" customFormat="1" ht="30" customHeight="1" thickBot="1" x14ac:dyDescent="0.35">
      <c r="A14" s="6"/>
      <c r="B14" s="20" t="s">
        <v>53</v>
      </c>
      <c r="C14" s="13"/>
      <c r="D14" s="37"/>
      <c r="E14" s="61">
        <f>L5</f>
        <v>46317</v>
      </c>
      <c r="F14" s="61">
        <f>L5</f>
        <v>46317</v>
      </c>
      <c r="G14" s="36"/>
      <c r="H14" s="36">
        <f t="shared" si="23"/>
        <v>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row>
    <row r="15" spans="1:89" s="1" customFormat="1" ht="30" customHeight="1" thickBot="1" x14ac:dyDescent="0.35">
      <c r="A15" s="7" t="s">
        <v>10</v>
      </c>
      <c r="B15" s="38" t="s">
        <v>38</v>
      </c>
      <c r="C15" s="14"/>
      <c r="D15" s="39"/>
      <c r="E15" s="62"/>
      <c r="F15" s="63"/>
      <c r="G15" s="36"/>
      <c r="H15" s="36" t="str">
        <f t="shared" si="23"/>
        <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row>
    <row r="16" spans="1:89" s="1" customFormat="1" ht="30" customHeight="1" thickBot="1" x14ac:dyDescent="0.35">
      <c r="A16" s="7"/>
      <c r="B16" s="21" t="s">
        <v>54</v>
      </c>
      <c r="C16" s="15"/>
      <c r="D16" s="40"/>
      <c r="E16" s="64">
        <f>M5</f>
        <v>46318</v>
      </c>
      <c r="F16" s="64">
        <f>M5</f>
        <v>46318</v>
      </c>
      <c r="G16" s="36"/>
      <c r="H16" s="36">
        <f t="shared" si="23"/>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row>
    <row r="17" spans="1:89" s="1" customFormat="1" ht="28.2" customHeight="1" thickBot="1" x14ac:dyDescent="0.35">
      <c r="A17" s="6"/>
      <c r="B17" s="21" t="s">
        <v>55</v>
      </c>
      <c r="C17" s="15"/>
      <c r="D17" s="40"/>
      <c r="E17" s="64">
        <f>M5</f>
        <v>46318</v>
      </c>
      <c r="F17" s="64">
        <f>M5</f>
        <v>46318</v>
      </c>
      <c r="G17" s="36"/>
      <c r="H17" s="36">
        <f t="shared" si="23"/>
        <v>1</v>
      </c>
      <c r="I17" s="4"/>
      <c r="J17" s="4"/>
      <c r="K17" s="4"/>
      <c r="L17" s="4"/>
      <c r="M17" s="4"/>
      <c r="N17" s="4"/>
      <c r="O17" s="4"/>
      <c r="P17" s="4"/>
      <c r="Q17" s="4"/>
      <c r="R17" s="4"/>
      <c r="S17" s="4"/>
      <c r="T17" s="4"/>
      <c r="U17" s="5"/>
      <c r="V17" s="5"/>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row>
    <row r="18" spans="1:89" s="1" customFormat="1" ht="30" customHeight="1" thickBot="1" x14ac:dyDescent="0.35">
      <c r="A18" s="6"/>
      <c r="B18" s="21" t="s">
        <v>58</v>
      </c>
      <c r="C18" s="15"/>
      <c r="D18" s="40"/>
      <c r="E18" s="64">
        <f>M5</f>
        <v>46318</v>
      </c>
      <c r="F18" s="64">
        <f>M5</f>
        <v>46318</v>
      </c>
      <c r="G18" s="36"/>
      <c r="H18" s="36">
        <f t="shared" si="23"/>
        <v>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row>
    <row r="19" spans="1:89" s="1" customFormat="1" ht="30" customHeight="1" thickBot="1" x14ac:dyDescent="0.35">
      <c r="A19" s="6"/>
      <c r="B19" s="21" t="s">
        <v>57</v>
      </c>
      <c r="C19" s="15"/>
      <c r="D19" s="40"/>
      <c r="E19" s="64">
        <f>P5</f>
        <v>46321</v>
      </c>
      <c r="F19" s="64">
        <f>P5</f>
        <v>46321</v>
      </c>
      <c r="G19" s="36"/>
      <c r="H19" s="36"/>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row>
    <row r="20" spans="1:89" s="1" customFormat="1" ht="30" customHeight="1" thickBot="1" x14ac:dyDescent="0.35">
      <c r="A20" s="6"/>
      <c r="B20" s="21" t="s">
        <v>107</v>
      </c>
      <c r="C20" s="15"/>
      <c r="D20" s="40"/>
      <c r="E20" s="64">
        <f>P5</f>
        <v>46321</v>
      </c>
      <c r="F20" s="64">
        <f>P5</f>
        <v>46321</v>
      </c>
      <c r="G20" s="36"/>
      <c r="H20" s="36"/>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row>
    <row r="21" spans="1:89" s="1" customFormat="1" ht="30" customHeight="1" thickBot="1" x14ac:dyDescent="0.35">
      <c r="A21" s="6"/>
      <c r="B21" s="21" t="s">
        <v>59</v>
      </c>
      <c r="C21" s="15"/>
      <c r="D21" s="40"/>
      <c r="E21" s="64">
        <f>P5</f>
        <v>46321</v>
      </c>
      <c r="F21" s="64">
        <f>P5</f>
        <v>46321</v>
      </c>
      <c r="G21" s="36"/>
      <c r="H21" s="36"/>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row>
    <row r="22" spans="1:89" s="1" customFormat="1" ht="30" customHeight="1" thickBot="1" x14ac:dyDescent="0.35">
      <c r="A22" s="6"/>
      <c r="B22" s="21" t="s">
        <v>60</v>
      </c>
      <c r="C22" s="15"/>
      <c r="D22" s="40"/>
      <c r="E22" s="64">
        <f>P5</f>
        <v>46321</v>
      </c>
      <c r="F22" s="64">
        <f>P5</f>
        <v>46321</v>
      </c>
      <c r="G22" s="36"/>
      <c r="H22" s="36"/>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row>
    <row r="23" spans="1:89" s="1" customFormat="1" ht="30" customHeight="1" thickBot="1" x14ac:dyDescent="0.35">
      <c r="A23" s="6"/>
      <c r="B23" s="21" t="s">
        <v>108</v>
      </c>
      <c r="C23" s="15"/>
      <c r="D23" s="40"/>
      <c r="E23" s="64">
        <f>E22</f>
        <v>46321</v>
      </c>
      <c r="F23" s="64">
        <f>E22</f>
        <v>46321</v>
      </c>
      <c r="G23" s="36"/>
      <c r="H23" s="36"/>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row>
    <row r="24" spans="1:89" s="1" customFormat="1" ht="30" customHeight="1" thickBot="1" x14ac:dyDescent="0.35">
      <c r="A24" s="6"/>
      <c r="B24" s="21" t="s">
        <v>81</v>
      </c>
      <c r="C24" s="15"/>
      <c r="D24" s="40"/>
      <c r="E24" s="64">
        <f>P5</f>
        <v>46321</v>
      </c>
      <c r="F24" s="64">
        <f>Q5</f>
        <v>46322</v>
      </c>
      <c r="G24" s="36"/>
      <c r="H24" s="36"/>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row>
    <row r="25" spans="1:89" s="1" customFormat="1" ht="30" customHeight="1" thickBot="1" x14ac:dyDescent="0.35">
      <c r="A25" s="6"/>
      <c r="B25" s="21" t="s">
        <v>82</v>
      </c>
      <c r="C25" s="15"/>
      <c r="D25" s="40"/>
      <c r="E25" s="64">
        <f>Q5</f>
        <v>46322</v>
      </c>
      <c r="F25" s="64">
        <f>Q5</f>
        <v>46322</v>
      </c>
      <c r="G25" s="36"/>
      <c r="H25" s="36"/>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row>
    <row r="26" spans="1:89" s="1" customFormat="1" ht="30" customHeight="1" thickBot="1" x14ac:dyDescent="0.35">
      <c r="A26" s="6"/>
      <c r="B26" s="21" t="s">
        <v>61</v>
      </c>
      <c r="C26" s="15"/>
      <c r="D26" s="40"/>
      <c r="E26" s="64">
        <f>Q5</f>
        <v>46322</v>
      </c>
      <c r="F26" s="64">
        <f>Q5</f>
        <v>46322</v>
      </c>
      <c r="G26" s="36"/>
      <c r="H26" s="36"/>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row>
    <row r="27" spans="1:89" s="1" customFormat="1" ht="30" customHeight="1" thickBot="1" x14ac:dyDescent="0.35">
      <c r="A27" s="6"/>
      <c r="B27" s="21" t="s">
        <v>62</v>
      </c>
      <c r="C27" s="15"/>
      <c r="D27" s="40"/>
      <c r="E27" s="64">
        <f>Q5</f>
        <v>46322</v>
      </c>
      <c r="F27" s="64">
        <f>Q5</f>
        <v>46322</v>
      </c>
      <c r="G27" s="36"/>
      <c r="H27" s="36"/>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row>
    <row r="28" spans="1:89" s="1" customFormat="1" ht="30" customHeight="1" thickBot="1" x14ac:dyDescent="0.35">
      <c r="A28" s="6"/>
      <c r="B28" s="21" t="s">
        <v>67</v>
      </c>
      <c r="C28" s="15"/>
      <c r="D28" s="40"/>
      <c r="E28" s="64">
        <f>Q5</f>
        <v>46322</v>
      </c>
      <c r="F28" s="64">
        <f>R5</f>
        <v>46323</v>
      </c>
      <c r="G28" s="36"/>
      <c r="H28" s="36"/>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row>
    <row r="29" spans="1:89" s="1" customFormat="1" ht="30" customHeight="1" thickBot="1" x14ac:dyDescent="0.35">
      <c r="A29" s="6"/>
      <c r="B29" s="21" t="s">
        <v>63</v>
      </c>
      <c r="C29" s="15"/>
      <c r="D29" s="40"/>
      <c r="E29" s="64">
        <f>R5</f>
        <v>46323</v>
      </c>
      <c r="F29" s="64">
        <f>R5</f>
        <v>46323</v>
      </c>
      <c r="G29" s="36"/>
      <c r="H29" s="36"/>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row>
    <row r="30" spans="1:89" s="1" customFormat="1" ht="30" customHeight="1" thickBot="1" x14ac:dyDescent="0.35">
      <c r="A30" s="6"/>
      <c r="B30" s="21" t="s">
        <v>64</v>
      </c>
      <c r="C30" s="15"/>
      <c r="D30" s="40"/>
      <c r="E30" s="64">
        <f>R5</f>
        <v>46323</v>
      </c>
      <c r="F30" s="64">
        <f>R5</f>
        <v>46323</v>
      </c>
      <c r="G30" s="36"/>
      <c r="H30" s="36"/>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row>
    <row r="31" spans="1:89" s="1" customFormat="1" ht="30" customHeight="1" thickBot="1" x14ac:dyDescent="0.35">
      <c r="A31" s="6"/>
      <c r="B31" s="21" t="s">
        <v>90</v>
      </c>
      <c r="C31" s="15"/>
      <c r="D31" s="40"/>
      <c r="E31" s="64">
        <f>T5</f>
        <v>46325</v>
      </c>
      <c r="F31" s="64">
        <f>W5</f>
        <v>46328</v>
      </c>
      <c r="G31" s="36"/>
      <c r="H31" s="36"/>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row>
    <row r="32" spans="1:89" s="1" customFormat="1" ht="30" customHeight="1" thickBot="1" x14ac:dyDescent="0.35">
      <c r="A32" s="6"/>
      <c r="B32" s="21" t="s">
        <v>96</v>
      </c>
      <c r="C32" s="15"/>
      <c r="D32" s="40"/>
      <c r="E32" s="64">
        <f>F31</f>
        <v>46328</v>
      </c>
      <c r="F32" s="64">
        <f>X5</f>
        <v>46329</v>
      </c>
      <c r="G32" s="36"/>
      <c r="H32" s="36"/>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row>
    <row r="33" spans="1:89" s="1" customFormat="1" ht="30" customHeight="1" thickBot="1" x14ac:dyDescent="0.35">
      <c r="A33" s="6"/>
      <c r="B33" s="21" t="s">
        <v>95</v>
      </c>
      <c r="C33" s="15"/>
      <c r="D33" s="40"/>
      <c r="E33" s="64">
        <f>X5</f>
        <v>46329</v>
      </c>
      <c r="F33" s="64">
        <f>X5</f>
        <v>46329</v>
      </c>
      <c r="G33" s="36"/>
      <c r="H33" s="36"/>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row>
    <row r="34" spans="1:89" s="1" customFormat="1" ht="30" customHeight="1" thickBot="1" x14ac:dyDescent="0.35">
      <c r="A34" s="6"/>
      <c r="B34" s="21" t="s">
        <v>65</v>
      </c>
      <c r="C34" s="15"/>
      <c r="D34" s="40"/>
      <c r="E34" s="64">
        <f>W5</f>
        <v>46328</v>
      </c>
      <c r="F34" s="64">
        <f>W5</f>
        <v>46328</v>
      </c>
      <c r="G34" s="36"/>
      <c r="H34" s="36"/>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row>
    <row r="35" spans="1:89" s="1" customFormat="1" ht="30" customHeight="1" thickBot="1" x14ac:dyDescent="0.35">
      <c r="A35" s="6"/>
      <c r="B35" s="21" t="s">
        <v>66</v>
      </c>
      <c r="C35" s="15"/>
      <c r="D35" s="40"/>
      <c r="E35" s="64">
        <f>W5</f>
        <v>46328</v>
      </c>
      <c r="F35" s="64">
        <f>X5</f>
        <v>46329</v>
      </c>
      <c r="G35" s="36"/>
      <c r="H35" s="36"/>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row>
    <row r="36" spans="1:89" s="1" customFormat="1" ht="30" customHeight="1" thickBot="1" x14ac:dyDescent="0.35">
      <c r="A36" s="6"/>
      <c r="B36" s="21" t="s">
        <v>68</v>
      </c>
      <c r="C36" s="15"/>
      <c r="D36" s="40"/>
      <c r="E36" s="64">
        <f>X5</f>
        <v>46329</v>
      </c>
      <c r="F36" s="64">
        <f>X5</f>
        <v>46329</v>
      </c>
      <c r="G36" s="36"/>
      <c r="H36" s="36"/>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row>
    <row r="37" spans="1:89" s="1" customFormat="1" ht="30" customHeight="1" thickBot="1" x14ac:dyDescent="0.35">
      <c r="A37" s="6"/>
      <c r="B37" s="21" t="s">
        <v>91</v>
      </c>
      <c r="C37" s="15"/>
      <c r="D37" s="40"/>
      <c r="E37" s="64">
        <f>E34+1</f>
        <v>46329</v>
      </c>
      <c r="F37" s="64">
        <f>X5</f>
        <v>46329</v>
      </c>
      <c r="G37" s="36"/>
      <c r="H37" s="36"/>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row>
    <row r="38" spans="1:89" s="1" customFormat="1" ht="30" customHeight="1" thickBot="1" x14ac:dyDescent="0.35">
      <c r="A38" s="6"/>
      <c r="B38" s="21" t="s">
        <v>92</v>
      </c>
      <c r="C38" s="15"/>
      <c r="D38" s="40"/>
      <c r="E38" s="64">
        <f>X5</f>
        <v>46329</v>
      </c>
      <c r="F38" s="64">
        <f>X5</f>
        <v>46329</v>
      </c>
      <c r="G38" s="36"/>
      <c r="H38" s="36"/>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row>
    <row r="39" spans="1:89" s="1" customFormat="1" ht="30" customHeight="1" thickBot="1" x14ac:dyDescent="0.35">
      <c r="A39" s="6"/>
      <c r="B39" s="21" t="s">
        <v>96</v>
      </c>
      <c r="C39" s="15"/>
      <c r="D39" s="40"/>
      <c r="E39" s="64">
        <f>X5</f>
        <v>46329</v>
      </c>
      <c r="F39" s="64">
        <f>X5</f>
        <v>46329</v>
      </c>
      <c r="G39" s="36"/>
      <c r="H39" s="36"/>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row>
    <row r="40" spans="1:89" s="1" customFormat="1" ht="30" customHeight="1" thickBot="1" x14ac:dyDescent="0.35">
      <c r="A40" s="6"/>
      <c r="B40" s="21" t="s">
        <v>95</v>
      </c>
      <c r="C40" s="15"/>
      <c r="D40" s="40"/>
      <c r="E40" s="64">
        <f>X5</f>
        <v>46329</v>
      </c>
      <c r="F40" s="64">
        <f>Y5</f>
        <v>46330</v>
      </c>
      <c r="G40" s="36"/>
      <c r="H40" s="36"/>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row>
    <row r="41" spans="1:89" s="1" customFormat="1" ht="30" customHeight="1" thickBot="1" x14ac:dyDescent="0.35">
      <c r="A41" s="6"/>
      <c r="B41" s="21" t="s">
        <v>69</v>
      </c>
      <c r="C41" s="15"/>
      <c r="D41" s="40"/>
      <c r="E41" s="64">
        <f>Y5</f>
        <v>46330</v>
      </c>
      <c r="F41" s="64">
        <f>Y5</f>
        <v>46330</v>
      </c>
      <c r="G41" s="36"/>
      <c r="H41" s="36"/>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row>
    <row r="42" spans="1:89" s="1" customFormat="1" ht="30" customHeight="1" thickBot="1" x14ac:dyDescent="0.35">
      <c r="A42" s="6"/>
      <c r="B42" s="21" t="s">
        <v>70</v>
      </c>
      <c r="C42" s="15"/>
      <c r="D42" s="40"/>
      <c r="E42" s="64">
        <f>Y5</f>
        <v>46330</v>
      </c>
      <c r="F42" s="64">
        <f>Y5</f>
        <v>46330</v>
      </c>
      <c r="G42" s="36"/>
      <c r="H42" s="36"/>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row>
    <row r="43" spans="1:89" s="1" customFormat="1" ht="30" customHeight="1" thickBot="1" x14ac:dyDescent="0.35">
      <c r="A43" s="6"/>
      <c r="B43" s="21" t="s">
        <v>71</v>
      </c>
      <c r="C43" s="15"/>
      <c r="D43" s="40"/>
      <c r="E43" s="64">
        <f>E37+1</f>
        <v>46330</v>
      </c>
      <c r="F43" s="64">
        <f>Y5</f>
        <v>46330</v>
      </c>
      <c r="G43" s="36"/>
      <c r="H43" s="36"/>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row>
    <row r="44" spans="1:89" s="1" customFormat="1" ht="30" customHeight="1" thickBot="1" x14ac:dyDescent="0.35">
      <c r="A44" s="6"/>
      <c r="B44" s="21" t="s">
        <v>93</v>
      </c>
      <c r="C44" s="15"/>
      <c r="D44" s="40"/>
      <c r="E44" s="64">
        <f>Y5</f>
        <v>46330</v>
      </c>
      <c r="F44" s="64">
        <f>Y5</f>
        <v>46330</v>
      </c>
      <c r="G44" s="36"/>
      <c r="H44" s="36"/>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row>
    <row r="45" spans="1:89" s="1" customFormat="1" ht="30" customHeight="1" thickBot="1" x14ac:dyDescent="0.35">
      <c r="A45" s="6"/>
      <c r="B45" s="21" t="s">
        <v>94</v>
      </c>
      <c r="C45" s="15"/>
      <c r="D45" s="40"/>
      <c r="E45" s="64">
        <f>Y5</f>
        <v>46330</v>
      </c>
      <c r="F45" s="64">
        <f>Y5</f>
        <v>46330</v>
      </c>
      <c r="G45" s="36"/>
      <c r="H45" s="36"/>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row>
    <row r="46" spans="1:89" s="1" customFormat="1" ht="30" customHeight="1" thickBot="1" x14ac:dyDescent="0.35">
      <c r="A46" s="6"/>
      <c r="B46" s="21" t="s">
        <v>96</v>
      </c>
      <c r="C46" s="15"/>
      <c r="D46" s="40"/>
      <c r="E46" s="64">
        <f>Y5</f>
        <v>46330</v>
      </c>
      <c r="F46" s="64">
        <f>Y5</f>
        <v>46330</v>
      </c>
      <c r="G46" s="36"/>
      <c r="H46" s="36"/>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row>
    <row r="47" spans="1:89" s="1" customFormat="1" ht="30" customHeight="1" thickBot="1" x14ac:dyDescent="0.35">
      <c r="A47" s="6"/>
      <c r="B47" s="21" t="s">
        <v>95</v>
      </c>
      <c r="C47" s="15"/>
      <c r="D47" s="40"/>
      <c r="E47" s="64">
        <f>AA5</f>
        <v>46332</v>
      </c>
      <c r="F47" s="64">
        <f>AA5</f>
        <v>46332</v>
      </c>
      <c r="G47" s="36"/>
      <c r="H47" s="36"/>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row>
    <row r="48" spans="1:89" s="1" customFormat="1" ht="30" customHeight="1" thickBot="1" x14ac:dyDescent="0.35">
      <c r="A48" s="6"/>
      <c r="B48" s="21" t="s">
        <v>72</v>
      </c>
      <c r="C48" s="15"/>
      <c r="D48" s="40"/>
      <c r="E48" s="64">
        <f>AA5</f>
        <v>46332</v>
      </c>
      <c r="F48" s="64">
        <f>AA5</f>
        <v>46332</v>
      </c>
      <c r="G48" s="36"/>
      <c r="H48" s="36"/>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row>
    <row r="49" spans="1:89" s="1" customFormat="1" ht="30" customHeight="1" thickBot="1" x14ac:dyDescent="0.35">
      <c r="A49" s="6"/>
      <c r="B49" s="21" t="s">
        <v>73</v>
      </c>
      <c r="C49" s="15"/>
      <c r="D49" s="40"/>
      <c r="E49" s="64">
        <f>AA5</f>
        <v>46332</v>
      </c>
      <c r="F49" s="64">
        <f>AA5</f>
        <v>46332</v>
      </c>
      <c r="G49" s="36"/>
      <c r="H49" s="36"/>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row>
    <row r="50" spans="1:89" s="1" customFormat="1" ht="30" customHeight="1" thickBot="1" x14ac:dyDescent="0.35">
      <c r="A50" s="6"/>
      <c r="B50" s="21" t="s">
        <v>74</v>
      </c>
      <c r="C50" s="15"/>
      <c r="D50" s="40"/>
      <c r="E50" s="64">
        <f>AA5</f>
        <v>46332</v>
      </c>
      <c r="F50" s="64">
        <f>AA5</f>
        <v>46332</v>
      </c>
      <c r="G50" s="36"/>
      <c r="H50" s="36"/>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row>
    <row r="51" spans="1:89" s="1" customFormat="1" ht="30" customHeight="1" thickBot="1" x14ac:dyDescent="0.35">
      <c r="A51" s="6"/>
      <c r="B51" s="21" t="s">
        <v>97</v>
      </c>
      <c r="C51" s="15"/>
      <c r="D51" s="40"/>
      <c r="E51" s="64">
        <f>AA5</f>
        <v>46332</v>
      </c>
      <c r="F51" s="64">
        <f>AA5</f>
        <v>46332</v>
      </c>
      <c r="G51" s="36"/>
      <c r="H51" s="36"/>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row>
    <row r="52" spans="1:89" s="1" customFormat="1" ht="30" customHeight="1" thickBot="1" x14ac:dyDescent="0.35">
      <c r="A52" s="6"/>
      <c r="B52" s="21" t="s">
        <v>98</v>
      </c>
      <c r="C52" s="15"/>
      <c r="D52" s="40"/>
      <c r="E52" s="64">
        <f>AA5</f>
        <v>46332</v>
      </c>
      <c r="F52" s="64">
        <f>AA5</f>
        <v>46332</v>
      </c>
      <c r="G52" s="36"/>
      <c r="H52" s="36"/>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row>
    <row r="53" spans="1:89" s="1" customFormat="1" ht="30" customHeight="1" thickBot="1" x14ac:dyDescent="0.35">
      <c r="A53" s="6"/>
      <c r="B53" s="21" t="s">
        <v>96</v>
      </c>
      <c r="C53" s="15"/>
      <c r="D53" s="40"/>
      <c r="E53" s="64">
        <f>AA5</f>
        <v>46332</v>
      </c>
      <c r="F53" s="64">
        <f>AA5</f>
        <v>46332</v>
      </c>
      <c r="G53" s="36"/>
      <c r="H53" s="36"/>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row>
    <row r="54" spans="1:89" s="1" customFormat="1" ht="30" customHeight="1" thickBot="1" x14ac:dyDescent="0.35">
      <c r="A54" s="6"/>
      <c r="B54" s="21" t="s">
        <v>95</v>
      </c>
      <c r="C54" s="15"/>
      <c r="D54" s="40"/>
      <c r="E54" s="64">
        <f>AD5</f>
        <v>46335</v>
      </c>
      <c r="F54" s="64">
        <f>AD5</f>
        <v>46335</v>
      </c>
      <c r="G54" s="36"/>
      <c r="H54" s="36"/>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row>
    <row r="55" spans="1:89" s="1" customFormat="1" ht="30" customHeight="1" thickBot="1" x14ac:dyDescent="0.35">
      <c r="A55" s="6"/>
      <c r="B55" s="21" t="s">
        <v>75</v>
      </c>
      <c r="C55" s="15"/>
      <c r="D55" s="40"/>
      <c r="E55" s="64">
        <f>AD5</f>
        <v>46335</v>
      </c>
      <c r="F55" s="64">
        <f>AD5</f>
        <v>46335</v>
      </c>
      <c r="G55" s="36"/>
      <c r="H55" s="36"/>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row>
    <row r="56" spans="1:89" s="1" customFormat="1" ht="30" customHeight="1" thickBot="1" x14ac:dyDescent="0.35">
      <c r="A56" s="6"/>
      <c r="B56" s="21" t="s">
        <v>76</v>
      </c>
      <c r="C56" s="15"/>
      <c r="D56" s="40"/>
      <c r="E56" s="64">
        <f>AD5</f>
        <v>46335</v>
      </c>
      <c r="F56" s="64">
        <f>AF5</f>
        <v>46337</v>
      </c>
      <c r="G56" s="36"/>
      <c r="H56" s="36"/>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row>
    <row r="57" spans="1:89" s="1" customFormat="1" ht="30" customHeight="1" thickBot="1" x14ac:dyDescent="0.35">
      <c r="A57" s="6"/>
      <c r="B57" s="21" t="s">
        <v>77</v>
      </c>
      <c r="C57" s="15"/>
      <c r="D57" s="40"/>
      <c r="E57" s="64">
        <f>AF5</f>
        <v>46337</v>
      </c>
      <c r="F57" s="64">
        <f>AF5</f>
        <v>46337</v>
      </c>
      <c r="G57" s="36"/>
      <c r="H57" s="36"/>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row>
    <row r="58" spans="1:89" s="1" customFormat="1" ht="30" customHeight="1" thickBot="1" x14ac:dyDescent="0.35">
      <c r="A58" s="6"/>
      <c r="B58" s="21" t="s">
        <v>99</v>
      </c>
      <c r="C58" s="15"/>
      <c r="D58" s="40"/>
      <c r="E58" s="64">
        <f>AF5</f>
        <v>46337</v>
      </c>
      <c r="F58" s="64">
        <f>AF5</f>
        <v>46337</v>
      </c>
      <c r="G58" s="36"/>
      <c r="H58" s="36"/>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row>
    <row r="59" spans="1:89" s="1" customFormat="1" ht="30" customHeight="1" thickBot="1" x14ac:dyDescent="0.35">
      <c r="A59" s="6"/>
      <c r="B59" s="21" t="s">
        <v>100</v>
      </c>
      <c r="C59" s="15"/>
      <c r="D59" s="40"/>
      <c r="E59" s="64">
        <f>AF5</f>
        <v>46337</v>
      </c>
      <c r="F59" s="64">
        <f>AF5</f>
        <v>46337</v>
      </c>
      <c r="G59" s="36"/>
      <c r="H59" s="36"/>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row>
    <row r="60" spans="1:89" s="1" customFormat="1" ht="30" customHeight="1" thickBot="1" x14ac:dyDescent="0.35">
      <c r="A60" s="6"/>
      <c r="B60" s="21" t="s">
        <v>96</v>
      </c>
      <c r="C60" s="15"/>
      <c r="D60" s="40"/>
      <c r="E60" s="64">
        <f>AF5</f>
        <v>46337</v>
      </c>
      <c r="F60" s="64">
        <f>AF5</f>
        <v>46337</v>
      </c>
      <c r="G60" s="36"/>
      <c r="H60" s="36"/>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row>
    <row r="61" spans="1:89" s="1" customFormat="1" ht="30" customHeight="1" thickBot="1" x14ac:dyDescent="0.35">
      <c r="A61" s="6" t="s">
        <v>106</v>
      </c>
      <c r="B61" s="21" t="s">
        <v>95</v>
      </c>
      <c r="C61" s="15"/>
      <c r="D61" s="40"/>
      <c r="E61" s="64">
        <f>AH5</f>
        <v>46339</v>
      </c>
      <c r="F61" s="64">
        <f>AH5</f>
        <v>46339</v>
      </c>
      <c r="G61" s="36"/>
      <c r="H61" s="36"/>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row>
    <row r="62" spans="1:89" s="1" customFormat="1" ht="30" customHeight="1" thickBot="1" x14ac:dyDescent="0.35">
      <c r="A62" s="6"/>
      <c r="B62" s="21" t="s">
        <v>78</v>
      </c>
      <c r="C62" s="15"/>
      <c r="D62" s="40"/>
      <c r="E62" s="64">
        <f>AH5</f>
        <v>46339</v>
      </c>
      <c r="F62" s="64">
        <f>AH5</f>
        <v>46339</v>
      </c>
      <c r="G62" s="36"/>
      <c r="H62" s="36"/>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row>
    <row r="63" spans="1:89" s="1" customFormat="1" ht="30" customHeight="1" thickBot="1" x14ac:dyDescent="0.35">
      <c r="A63" s="6"/>
      <c r="B63" s="21" t="s">
        <v>103</v>
      </c>
      <c r="C63" s="15"/>
      <c r="D63" s="40"/>
      <c r="E63" s="64">
        <f>AH5</f>
        <v>46339</v>
      </c>
      <c r="F63" s="64">
        <f>AO5</f>
        <v>46346</v>
      </c>
      <c r="G63" s="36"/>
      <c r="H63" s="36"/>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row>
    <row r="64" spans="1:89" s="1" customFormat="1" ht="30" customHeight="1" thickBot="1" x14ac:dyDescent="0.35">
      <c r="A64" s="6"/>
      <c r="B64" s="21" t="s">
        <v>80</v>
      </c>
      <c r="C64" s="15"/>
      <c r="D64" s="40"/>
      <c r="E64" s="64">
        <f>AO5</f>
        <v>46346</v>
      </c>
      <c r="F64" s="64">
        <f>AO5</f>
        <v>46346</v>
      </c>
      <c r="G64" s="36"/>
      <c r="H64" s="36"/>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row>
    <row r="65" spans="1:89" s="1" customFormat="1" ht="30" customHeight="1" thickBot="1" x14ac:dyDescent="0.35">
      <c r="A65" s="6"/>
      <c r="B65" s="21" t="s">
        <v>84</v>
      </c>
      <c r="C65" s="15"/>
      <c r="D65" s="40"/>
      <c r="E65" s="64">
        <f>E64</f>
        <v>46346</v>
      </c>
      <c r="F65" s="64">
        <f>AO5</f>
        <v>46346</v>
      </c>
      <c r="G65" s="36"/>
      <c r="H65" s="36"/>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row>
    <row r="66" spans="1:89" s="1" customFormat="1" ht="30" customHeight="1" thickBot="1" x14ac:dyDescent="0.35">
      <c r="A66" s="6"/>
      <c r="B66" s="21" t="s">
        <v>86</v>
      </c>
      <c r="C66" s="15"/>
      <c r="D66" s="40"/>
      <c r="E66" s="64">
        <f>E65</f>
        <v>46346</v>
      </c>
      <c r="F66" s="64">
        <f>F65</f>
        <v>46346</v>
      </c>
      <c r="G66" s="36"/>
      <c r="H66" s="36"/>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row>
    <row r="67" spans="1:89" s="1" customFormat="1" ht="30" customHeight="1" thickBot="1" x14ac:dyDescent="0.35">
      <c r="A67" s="6"/>
      <c r="B67" s="21" t="s">
        <v>85</v>
      </c>
      <c r="C67" s="15"/>
      <c r="D67" s="40"/>
      <c r="E67" s="64">
        <f>AR5</f>
        <v>46349</v>
      </c>
      <c r="F67" s="64">
        <f>AR5</f>
        <v>46349</v>
      </c>
      <c r="G67" s="36"/>
      <c r="H67" s="36"/>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row>
    <row r="68" spans="1:89" s="1" customFormat="1" ht="30" customHeight="1" thickBot="1" x14ac:dyDescent="0.35">
      <c r="A68" s="6"/>
      <c r="B68" s="21" t="s">
        <v>101</v>
      </c>
      <c r="C68" s="15"/>
      <c r="D68" s="40"/>
      <c r="E68" s="64">
        <f>F67</f>
        <v>46349</v>
      </c>
      <c r="F68" s="64">
        <f>AS5</f>
        <v>46350</v>
      </c>
      <c r="G68" s="36"/>
      <c r="H68" s="36"/>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row>
    <row r="69" spans="1:89" s="1" customFormat="1" ht="30" customHeight="1" thickBot="1" x14ac:dyDescent="0.35">
      <c r="A69" s="6"/>
      <c r="B69" s="21" t="s">
        <v>102</v>
      </c>
      <c r="C69" s="15"/>
      <c r="D69" s="40"/>
      <c r="E69" s="64">
        <f>F68</f>
        <v>46350</v>
      </c>
      <c r="F69" s="64">
        <f>F68</f>
        <v>46350</v>
      </c>
      <c r="G69" s="36"/>
      <c r="H69" s="36"/>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row>
    <row r="70" spans="1:89" s="1" customFormat="1" ht="30" customHeight="1" thickBot="1" x14ac:dyDescent="0.35">
      <c r="A70" s="6" t="s">
        <v>11</v>
      </c>
      <c r="B70" s="41" t="s">
        <v>43</v>
      </c>
      <c r="C70" s="16"/>
      <c r="D70" s="42"/>
      <c r="E70" s="65"/>
      <c r="F70" s="66"/>
      <c r="G70" s="36"/>
      <c r="H70" s="36" t="str">
        <f t="shared" si="2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row>
    <row r="71" spans="1:89" s="1" customFormat="1" ht="30" customHeight="1" thickBot="1" x14ac:dyDescent="0.35">
      <c r="A71" s="6"/>
      <c r="B71" s="22" t="s">
        <v>40</v>
      </c>
      <c r="C71" s="17"/>
      <c r="D71" s="43"/>
      <c r="E71" s="67">
        <f>F69</f>
        <v>46350</v>
      </c>
      <c r="F71" s="67">
        <f>F69</f>
        <v>46350</v>
      </c>
      <c r="G71" s="36"/>
      <c r="H71" s="36">
        <f t="shared" si="23"/>
        <v>1</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row>
    <row r="72" spans="1:89" s="1" customFormat="1" ht="30" customHeight="1" thickBot="1" x14ac:dyDescent="0.35">
      <c r="A72" s="6"/>
      <c r="B72" s="22" t="s">
        <v>44</v>
      </c>
      <c r="C72" s="17"/>
      <c r="D72" s="43"/>
      <c r="E72" s="67">
        <f>F71</f>
        <v>46350</v>
      </c>
      <c r="F72" s="67">
        <f>F71</f>
        <v>46350</v>
      </c>
      <c r="G72" s="36"/>
      <c r="H72" s="36">
        <f t="shared" si="23"/>
        <v>1</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row>
    <row r="73" spans="1:89" s="1" customFormat="1" ht="30" customHeight="1" thickBot="1" x14ac:dyDescent="0.35">
      <c r="A73" s="6"/>
      <c r="B73" s="22" t="s">
        <v>104</v>
      </c>
      <c r="C73" s="17"/>
      <c r="D73" s="43"/>
      <c r="E73" s="67">
        <f>E72</f>
        <v>46350</v>
      </c>
      <c r="F73" s="67">
        <f>F72</f>
        <v>46350</v>
      </c>
      <c r="G73" s="36"/>
      <c r="H73" s="36">
        <f t="shared" si="23"/>
        <v>1</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row>
    <row r="74" spans="1:89" s="1" customFormat="1" ht="30" customHeight="1" thickBot="1" x14ac:dyDescent="0.35">
      <c r="A74" s="6"/>
      <c r="B74" s="22" t="s">
        <v>79</v>
      </c>
      <c r="C74" s="17"/>
      <c r="D74" s="43"/>
      <c r="E74" s="67">
        <f>E73</f>
        <v>46350</v>
      </c>
      <c r="F74" s="67">
        <f>F73</f>
        <v>46350</v>
      </c>
      <c r="G74" s="36"/>
      <c r="H74" s="36">
        <f t="shared" si="23"/>
        <v>1</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row>
    <row r="75" spans="1:89" s="1" customFormat="1" ht="30" customHeight="1" thickBot="1" x14ac:dyDescent="0.35">
      <c r="A75" s="6" t="s">
        <v>11</v>
      </c>
      <c r="B75" s="44" t="s">
        <v>45</v>
      </c>
      <c r="C75" s="18"/>
      <c r="D75" s="45"/>
      <c r="E75" s="68"/>
      <c r="F75" s="69"/>
      <c r="G75" s="36"/>
      <c r="H75" s="36" t="str">
        <f t="shared" si="2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row>
    <row r="76" spans="1:89" s="1" customFormat="1" ht="30" customHeight="1" thickBot="1" x14ac:dyDescent="0.35">
      <c r="A76" s="6"/>
      <c r="B76" s="23" t="s">
        <v>47</v>
      </c>
      <c r="C76" s="19"/>
      <c r="D76" s="46"/>
      <c r="E76" s="70">
        <f>AT5</f>
        <v>46351</v>
      </c>
      <c r="F76" s="70">
        <f>AT5</f>
        <v>46351</v>
      </c>
      <c r="G76" s="36"/>
      <c r="H76" s="36"/>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row>
    <row r="77" spans="1:89" s="1" customFormat="1" ht="30" customHeight="1" thickBot="1" x14ac:dyDescent="0.35">
      <c r="A77" s="6"/>
      <c r="B77" s="23" t="s">
        <v>87</v>
      </c>
      <c r="C77" s="19"/>
      <c r="D77" s="46"/>
      <c r="E77" s="70">
        <f>E76</f>
        <v>46351</v>
      </c>
      <c r="F77" s="70">
        <f>AV5</f>
        <v>46353</v>
      </c>
      <c r="G77" s="36"/>
      <c r="H77" s="36"/>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row>
    <row r="78" spans="1:89" s="1" customFormat="1" ht="30" customHeight="1" thickBot="1" x14ac:dyDescent="0.35">
      <c r="A78" s="6"/>
      <c r="B78" s="23" t="s">
        <v>105</v>
      </c>
      <c r="C78" s="19"/>
      <c r="D78" s="46"/>
      <c r="E78" s="70">
        <f>AV5</f>
        <v>46353</v>
      </c>
      <c r="F78" s="70">
        <f>AV5</f>
        <v>46353</v>
      </c>
      <c r="G78" s="36"/>
      <c r="H78" s="36"/>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row>
    <row r="79" spans="1:89" s="1" customFormat="1" ht="30" customHeight="1" thickBot="1" x14ac:dyDescent="0.35">
      <c r="A79" s="6"/>
      <c r="B79" s="23" t="s">
        <v>109</v>
      </c>
      <c r="C79" s="19"/>
      <c r="D79" s="46"/>
      <c r="E79" s="70">
        <f>E89</f>
        <v>46367</v>
      </c>
      <c r="F79" s="70">
        <f>E79</f>
        <v>46367</v>
      </c>
      <c r="G79" s="36"/>
      <c r="H79" s="36"/>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row>
    <row r="80" spans="1:89" s="1" customFormat="1" ht="30" customHeight="1" thickBot="1" x14ac:dyDescent="0.35">
      <c r="A80" s="6"/>
      <c r="B80" s="23" t="s">
        <v>110</v>
      </c>
      <c r="C80" s="19"/>
      <c r="D80" s="46"/>
      <c r="E80" s="70">
        <f>E79</f>
        <v>46367</v>
      </c>
      <c r="F80" s="70">
        <f>BN5</f>
        <v>46371</v>
      </c>
      <c r="G80" s="36"/>
      <c r="H80" s="36"/>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row>
    <row r="81" spans="1:89" s="82" customFormat="1" ht="30" customHeight="1" thickBot="1" x14ac:dyDescent="0.35">
      <c r="A81" s="79"/>
      <c r="B81" s="83" t="s">
        <v>46</v>
      </c>
      <c r="C81" s="75"/>
      <c r="D81" s="76"/>
      <c r="E81" s="77"/>
      <c r="F81" s="78"/>
      <c r="G81" s="80"/>
      <c r="H81" s="80" t="str">
        <f t="shared" ref="H81:H89" si="24">IF(OR(ISBLANK(タスク_開始),ISBLANK(タスク_終了)),"",タスク_終了-タスク_開始+1)</f>
        <v/>
      </c>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81"/>
      <c r="BX81" s="81"/>
      <c r="BY81" s="81"/>
      <c r="BZ81" s="81"/>
      <c r="CA81" s="81"/>
      <c r="CB81" s="81"/>
      <c r="CC81" s="81"/>
      <c r="CD81" s="81"/>
      <c r="CE81" s="81"/>
      <c r="CF81" s="81"/>
      <c r="CG81" s="81"/>
      <c r="CH81" s="81"/>
      <c r="CI81" s="81"/>
      <c r="CJ81" s="81"/>
      <c r="CK81" s="81"/>
    </row>
    <row r="82" spans="1:89" s="82" customFormat="1" ht="30" customHeight="1" thickBot="1" x14ac:dyDescent="0.35">
      <c r="A82" s="79"/>
      <c r="B82" s="74" t="s">
        <v>39</v>
      </c>
      <c r="C82" s="75"/>
      <c r="D82" s="76"/>
      <c r="E82" s="77">
        <f>F78</f>
        <v>46353</v>
      </c>
      <c r="F82" s="78">
        <f>F78</f>
        <v>46353</v>
      </c>
      <c r="G82" s="80"/>
      <c r="H82" s="80">
        <f t="shared" si="24"/>
        <v>1</v>
      </c>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81"/>
      <c r="BX82" s="81"/>
      <c r="BY82" s="81"/>
      <c r="BZ82" s="81"/>
      <c r="CA82" s="81"/>
      <c r="CB82" s="81"/>
      <c r="CC82" s="81"/>
      <c r="CD82" s="81"/>
      <c r="CE82" s="81"/>
      <c r="CF82" s="81"/>
      <c r="CG82" s="81"/>
      <c r="CH82" s="81"/>
      <c r="CI82" s="81"/>
      <c r="CJ82" s="81"/>
      <c r="CK82" s="81"/>
    </row>
    <row r="83" spans="1:89" s="82" customFormat="1" ht="30" customHeight="1" thickBot="1" x14ac:dyDescent="0.35">
      <c r="A83" s="79"/>
      <c r="B83" s="74" t="s">
        <v>42</v>
      </c>
      <c r="C83" s="75"/>
      <c r="D83" s="76"/>
      <c r="E83" s="77">
        <f>E82</f>
        <v>46353</v>
      </c>
      <c r="F83" s="78">
        <f>F82</f>
        <v>46353</v>
      </c>
      <c r="G83" s="80"/>
      <c r="H83" s="80">
        <f t="shared" si="24"/>
        <v>1</v>
      </c>
      <c r="I83" s="8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81"/>
      <c r="BX83" s="81"/>
      <c r="BY83" s="81"/>
      <c r="BZ83" s="81"/>
      <c r="CA83" s="81"/>
      <c r="CB83" s="81"/>
      <c r="CC83" s="81"/>
      <c r="CD83" s="81"/>
      <c r="CE83" s="81"/>
      <c r="CF83" s="81"/>
      <c r="CG83" s="81"/>
      <c r="CH83" s="81"/>
      <c r="CI83" s="81"/>
      <c r="CJ83" s="81"/>
      <c r="CK83" s="81"/>
    </row>
    <row r="84" spans="1:89" s="82" customFormat="1" ht="30" customHeight="1" thickBot="1" x14ac:dyDescent="0.35">
      <c r="A84" s="79"/>
      <c r="B84" s="74" t="s">
        <v>88</v>
      </c>
      <c r="C84" s="75"/>
      <c r="D84" s="76"/>
      <c r="E84" s="77">
        <f>AY5</f>
        <v>46356</v>
      </c>
      <c r="F84" s="78">
        <f>BA5</f>
        <v>46358</v>
      </c>
      <c r="G84" s="80"/>
      <c r="H84" s="80">
        <f t="shared" si="24"/>
        <v>3</v>
      </c>
      <c r="I84" s="8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81"/>
      <c r="BX84" s="81"/>
      <c r="BY84" s="81"/>
      <c r="BZ84" s="81"/>
      <c r="CA84" s="81"/>
      <c r="CB84" s="81"/>
      <c r="CC84" s="81"/>
      <c r="CD84" s="81"/>
      <c r="CE84" s="81"/>
      <c r="CF84" s="81"/>
      <c r="CG84" s="81"/>
      <c r="CH84" s="81"/>
      <c r="CI84" s="81"/>
      <c r="CJ84" s="81"/>
      <c r="CK84" s="81"/>
    </row>
    <row r="85" spans="1:89" s="82" customFormat="1" ht="30" customHeight="1" thickBot="1" x14ac:dyDescent="0.35">
      <c r="A85" s="79"/>
      <c r="B85" s="74" t="s">
        <v>49</v>
      </c>
      <c r="C85" s="75"/>
      <c r="D85" s="76"/>
      <c r="E85" s="77">
        <f>F84</f>
        <v>46358</v>
      </c>
      <c r="F85" s="78">
        <f>BC5</f>
        <v>46360</v>
      </c>
      <c r="G85" s="80"/>
      <c r="H85" s="80">
        <f t="shared" si="24"/>
        <v>3</v>
      </c>
      <c r="I85" s="8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81"/>
      <c r="BX85" s="81"/>
      <c r="BY85" s="81"/>
      <c r="BZ85" s="81"/>
      <c r="CA85" s="81"/>
      <c r="CB85" s="81"/>
      <c r="CC85" s="81"/>
      <c r="CD85" s="81"/>
      <c r="CE85" s="81"/>
      <c r="CF85" s="81"/>
      <c r="CG85" s="81"/>
      <c r="CH85" s="81"/>
      <c r="CI85" s="81"/>
      <c r="CJ85" s="81"/>
      <c r="CK85" s="81"/>
    </row>
    <row r="86" spans="1:89" s="82" customFormat="1" ht="30" customHeight="1" thickBot="1" x14ac:dyDescent="0.35">
      <c r="A86" s="79"/>
      <c r="B86" s="74" t="s">
        <v>83</v>
      </c>
      <c r="C86" s="75"/>
      <c r="D86" s="76"/>
      <c r="E86" s="77">
        <f>F85</f>
        <v>46360</v>
      </c>
      <c r="F86" s="78">
        <f>BC5</f>
        <v>46360</v>
      </c>
      <c r="G86" s="80"/>
      <c r="H86" s="80">
        <f t="shared" si="24"/>
        <v>1</v>
      </c>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81"/>
      <c r="BX86" s="81"/>
      <c r="BY86" s="81"/>
      <c r="BZ86" s="81"/>
      <c r="CA86" s="81"/>
      <c r="CB86" s="81"/>
      <c r="CC86" s="81"/>
      <c r="CD86" s="81"/>
      <c r="CE86" s="81"/>
      <c r="CF86" s="81"/>
      <c r="CG86" s="81"/>
      <c r="CH86" s="81"/>
      <c r="CI86" s="81"/>
      <c r="CJ86" s="81"/>
      <c r="CK86" s="81"/>
    </row>
    <row r="87" spans="1:89" s="82" customFormat="1" ht="30" customHeight="1" thickBot="1" x14ac:dyDescent="0.35">
      <c r="A87" s="79"/>
      <c r="B87" s="74" t="s">
        <v>89</v>
      </c>
      <c r="C87" s="75"/>
      <c r="D87" s="76"/>
      <c r="E87" s="77">
        <f>F86</f>
        <v>46360</v>
      </c>
      <c r="F87" s="78">
        <f>F86</f>
        <v>46360</v>
      </c>
      <c r="G87" s="80"/>
      <c r="H87" s="80">
        <f t="shared" si="24"/>
        <v>1</v>
      </c>
      <c r="I87" s="8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81"/>
      <c r="BX87" s="81"/>
      <c r="BY87" s="81"/>
      <c r="BZ87" s="81"/>
      <c r="CA87" s="81"/>
      <c r="CB87" s="81"/>
      <c r="CC87" s="81"/>
      <c r="CD87" s="81"/>
      <c r="CE87" s="81"/>
      <c r="CF87" s="81"/>
      <c r="CG87" s="81"/>
      <c r="CH87" s="81"/>
      <c r="CI87" s="81"/>
      <c r="CJ87" s="81"/>
      <c r="CK87" s="81"/>
    </row>
    <row r="88" spans="1:89" s="82" customFormat="1" ht="30" customHeight="1" thickBot="1" x14ac:dyDescent="0.35">
      <c r="A88" s="79"/>
      <c r="B88" s="74" t="s">
        <v>47</v>
      </c>
      <c r="C88" s="75"/>
      <c r="D88" s="76"/>
      <c r="E88" s="77">
        <f>BF5</f>
        <v>46363</v>
      </c>
      <c r="F88" s="78">
        <f>BJ5</f>
        <v>46367</v>
      </c>
      <c r="G88" s="80"/>
      <c r="H88" s="80">
        <f t="shared" si="24"/>
        <v>5</v>
      </c>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81"/>
      <c r="BX88" s="81"/>
      <c r="BY88" s="81"/>
      <c r="BZ88" s="81"/>
      <c r="CA88" s="81"/>
      <c r="CB88" s="81"/>
      <c r="CC88" s="81"/>
      <c r="CD88" s="81"/>
      <c r="CE88" s="81"/>
      <c r="CF88" s="81"/>
      <c r="CG88" s="81"/>
      <c r="CH88" s="81"/>
      <c r="CI88" s="81"/>
      <c r="CJ88" s="81"/>
      <c r="CK88" s="81"/>
    </row>
    <row r="89" spans="1:89" s="82" customFormat="1" ht="30" customHeight="1" thickBot="1" x14ac:dyDescent="0.35">
      <c r="A89" s="79"/>
      <c r="B89" s="74" t="s">
        <v>87</v>
      </c>
      <c r="C89" s="75"/>
      <c r="D89" s="76"/>
      <c r="E89" s="77">
        <f>F88</f>
        <v>46367</v>
      </c>
      <c r="F89" s="78">
        <f t="shared" ref="F89" si="25">F88</f>
        <v>46367</v>
      </c>
      <c r="G89" s="80"/>
      <c r="H89" s="80">
        <f t="shared" si="24"/>
        <v>1</v>
      </c>
      <c r="I89" s="8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81"/>
      <c r="BX89" s="81"/>
      <c r="BY89" s="81"/>
      <c r="BZ89" s="81"/>
      <c r="CA89" s="81"/>
      <c r="CB89" s="81"/>
      <c r="CC89" s="81"/>
      <c r="CD89" s="81"/>
      <c r="CE89" s="81"/>
      <c r="CF89" s="81"/>
      <c r="CG89" s="81"/>
      <c r="CH89" s="81"/>
      <c r="CI89" s="81"/>
      <c r="CJ89" s="81"/>
      <c r="CK89" s="81"/>
    </row>
  </sheetData>
  <mergeCells count="13">
    <mergeCell ref="C3:D3"/>
    <mergeCell ref="C4:D4"/>
    <mergeCell ref="AK4:AQ4"/>
    <mergeCell ref="AR4:AX4"/>
    <mergeCell ref="AY4:BE4"/>
    <mergeCell ref="BM4:BS4"/>
    <mergeCell ref="BY4:CE4"/>
    <mergeCell ref="BF4:BL4"/>
    <mergeCell ref="E3:F3"/>
    <mergeCell ref="I4:O4"/>
    <mergeCell ref="P4:V4"/>
    <mergeCell ref="W4:AC4"/>
    <mergeCell ref="AD4:AJ4"/>
  </mergeCells>
  <phoneticPr fontId="26"/>
  <conditionalFormatting sqref="D7:D13 D15:D20 D26:D47 D50:D80">
    <cfRule type="dataBar" priority="30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3 I15:BL20 I26:BL47 I50:BL80">
    <cfRule type="expression" dxfId="209" priority="323">
      <formula>AND(TODAY()&gt;=I$5,TODAY()&lt;J$5)</formula>
    </cfRule>
  </conditionalFormatting>
  <conditionalFormatting sqref="I7:BL13 I15:BL20 I26:BL47 I50:BL80">
    <cfRule type="expression" dxfId="208" priority="317">
      <formula>AND(タスク_開始&lt;=I$5,ROUNDDOWN((タスク_終了-タスク_開始+1)*タスク_進捗状況,0)+タスク_開始-1&gt;=I$5)</formula>
    </cfRule>
    <cfRule type="expression" dxfId="207" priority="318" stopIfTrue="1">
      <formula>AND(タスク_終了&gt;=I$5,タスク_開始&lt;J$5)</formula>
    </cfRule>
  </conditionalFormatting>
  <conditionalFormatting sqref="D14">
    <cfRule type="dataBar" priority="287">
      <dataBar>
        <cfvo type="num" val="0"/>
        <cfvo type="num" val="1"/>
        <color theme="0" tint="-0.249977111117893"/>
      </dataBar>
      <extLst>
        <ext xmlns:x14="http://schemas.microsoft.com/office/spreadsheetml/2009/9/main" uri="{B025F937-C7B1-47D3-B67F-A62EFF666E3E}">
          <x14:id>{B856810B-3143-4EB8-9484-D2A8550734EC}</x14:id>
        </ext>
      </extLst>
    </cfRule>
  </conditionalFormatting>
  <conditionalFormatting sqref="I14:BL14">
    <cfRule type="expression" dxfId="206" priority="290">
      <formula>AND(TODAY()&gt;=I$5,TODAY()&lt;J$5)</formula>
    </cfRule>
  </conditionalFormatting>
  <conditionalFormatting sqref="I14:BL14">
    <cfRule type="expression" dxfId="205" priority="288">
      <formula>AND(タスク_開始&lt;=I$5,ROUNDDOWN((タスク_終了-タスク_開始+1)*タスク_進捗状況,0)+タスク_開始-1&gt;=I$5)</formula>
    </cfRule>
    <cfRule type="expression" dxfId="204" priority="289" stopIfTrue="1">
      <formula>AND(タスク_終了&gt;=I$5,タスク_開始&lt;J$5)</formula>
    </cfRule>
  </conditionalFormatting>
  <conditionalFormatting sqref="D81">
    <cfRule type="dataBar" priority="259">
      <dataBar>
        <cfvo type="num" val="0"/>
        <cfvo type="num" val="1"/>
        <color theme="0" tint="-0.249977111117893"/>
      </dataBar>
      <extLst>
        <ext xmlns:x14="http://schemas.microsoft.com/office/spreadsheetml/2009/9/main" uri="{B025F937-C7B1-47D3-B67F-A62EFF666E3E}">
          <x14:id>{A337BCAA-C4DB-4278-82AB-E3F95D3297A1}</x14:id>
        </ext>
      </extLst>
    </cfRule>
  </conditionalFormatting>
  <conditionalFormatting sqref="I81:BL81">
    <cfRule type="expression" dxfId="203" priority="262">
      <formula>AND(TODAY()&gt;=I$5,TODAY()&lt;J$5)</formula>
    </cfRule>
  </conditionalFormatting>
  <conditionalFormatting sqref="I81:BL81">
    <cfRule type="expression" dxfId="202" priority="260">
      <formula>AND(タスク_開始&lt;=I$5,ROUNDDOWN((タスク_終了-タスク_開始+1)*タスク_進捗状況,0)+タスク_開始-1&gt;=I$5)</formula>
    </cfRule>
    <cfRule type="expression" dxfId="201" priority="261" stopIfTrue="1">
      <formula>AND(タスク_終了&gt;=I$5,タスク_開始&lt;J$5)</formula>
    </cfRule>
  </conditionalFormatting>
  <conditionalFormatting sqref="D82">
    <cfRule type="dataBar" priority="247">
      <dataBar>
        <cfvo type="num" val="0"/>
        <cfvo type="num" val="1"/>
        <color theme="0" tint="-0.249977111117893"/>
      </dataBar>
      <extLst>
        <ext xmlns:x14="http://schemas.microsoft.com/office/spreadsheetml/2009/9/main" uri="{B025F937-C7B1-47D3-B67F-A62EFF666E3E}">
          <x14:id>{F8658D12-1BDA-4870-B161-391B486638CA}</x14:id>
        </ext>
      </extLst>
    </cfRule>
  </conditionalFormatting>
  <conditionalFormatting sqref="I82:BL82">
    <cfRule type="expression" dxfId="200" priority="250">
      <formula>AND(TODAY()&gt;=I$5,TODAY()&lt;J$5)</formula>
    </cfRule>
  </conditionalFormatting>
  <conditionalFormatting sqref="I82:BL82">
    <cfRule type="expression" dxfId="199" priority="248">
      <formula>AND(タスク_開始&lt;=I$5,ROUNDDOWN((タスク_終了-タスク_開始+1)*タスク_進捗状況,0)+タスク_開始-1&gt;=I$5)</formula>
    </cfRule>
    <cfRule type="expression" dxfId="198" priority="249" stopIfTrue="1">
      <formula>AND(タスク_終了&gt;=I$5,タスク_開始&lt;J$5)</formula>
    </cfRule>
  </conditionalFormatting>
  <conditionalFormatting sqref="I83:BL83">
    <cfRule type="expression" dxfId="197" priority="246">
      <formula>AND(TODAY()&gt;=I$5,TODAY()&lt;J$5)</formula>
    </cfRule>
  </conditionalFormatting>
  <conditionalFormatting sqref="I83:BL83">
    <cfRule type="expression" dxfId="196" priority="244">
      <formula>AND(タスク_開始&lt;=I$5,ROUNDDOWN((タスク_終了-タスク_開始+1)*タスク_進捗状況,0)+タスク_開始-1&gt;=I$5)</formula>
    </cfRule>
    <cfRule type="expression" dxfId="195" priority="245" stopIfTrue="1">
      <formula>AND(タスク_終了&gt;=I$5,タスク_開始&lt;J$5)</formula>
    </cfRule>
  </conditionalFormatting>
  <conditionalFormatting sqref="I84:BL84">
    <cfRule type="expression" dxfId="194" priority="242">
      <formula>AND(TODAY()&gt;=I$5,TODAY()&lt;J$5)</formula>
    </cfRule>
  </conditionalFormatting>
  <conditionalFormatting sqref="I84:BL84">
    <cfRule type="expression" dxfId="193" priority="240">
      <formula>AND(タスク_開始&lt;=I$5,ROUNDDOWN((タスク_終了-タスク_開始+1)*タスク_進捗状況,0)+タスク_開始-1&gt;=I$5)</formula>
    </cfRule>
    <cfRule type="expression" dxfId="192" priority="241" stopIfTrue="1">
      <formula>AND(タスク_終了&gt;=I$5,タスク_開始&lt;J$5)</formula>
    </cfRule>
  </conditionalFormatting>
  <conditionalFormatting sqref="D85">
    <cfRule type="dataBar" priority="235">
      <dataBar>
        <cfvo type="num" val="0"/>
        <cfvo type="num" val="1"/>
        <color theme="0" tint="-0.249977111117893"/>
      </dataBar>
      <extLst>
        <ext xmlns:x14="http://schemas.microsoft.com/office/spreadsheetml/2009/9/main" uri="{B025F937-C7B1-47D3-B67F-A62EFF666E3E}">
          <x14:id>{B0896403-1117-4AAB-B058-74FF98C20B58}</x14:id>
        </ext>
      </extLst>
    </cfRule>
  </conditionalFormatting>
  <conditionalFormatting sqref="I85:BL85">
    <cfRule type="expression" dxfId="191" priority="238">
      <formula>AND(TODAY()&gt;=I$5,TODAY()&lt;J$5)</formula>
    </cfRule>
  </conditionalFormatting>
  <conditionalFormatting sqref="I85:BL85">
    <cfRule type="expression" dxfId="190" priority="236">
      <formula>AND(タスク_開始&lt;=I$5,ROUNDDOWN((タスク_終了-タスク_開始+1)*タスク_進捗状況,0)+タスク_開始-1&gt;=I$5)</formula>
    </cfRule>
    <cfRule type="expression" dxfId="189" priority="237" stopIfTrue="1">
      <formula>AND(タスク_終了&gt;=I$5,タスク_開始&lt;J$5)</formula>
    </cfRule>
  </conditionalFormatting>
  <conditionalFormatting sqref="D86">
    <cfRule type="dataBar" priority="231">
      <dataBar>
        <cfvo type="num" val="0"/>
        <cfvo type="num" val="1"/>
        <color theme="0" tint="-0.249977111117893"/>
      </dataBar>
      <extLst>
        <ext xmlns:x14="http://schemas.microsoft.com/office/spreadsheetml/2009/9/main" uri="{B025F937-C7B1-47D3-B67F-A62EFF666E3E}">
          <x14:id>{272C1C02-5D00-4E79-BD75-D086B0EE91A6}</x14:id>
        </ext>
      </extLst>
    </cfRule>
  </conditionalFormatting>
  <conditionalFormatting sqref="I86:BL86">
    <cfRule type="expression" dxfId="188" priority="234">
      <formula>AND(TODAY()&gt;=I$5,TODAY()&lt;J$5)</formula>
    </cfRule>
  </conditionalFormatting>
  <conditionalFormatting sqref="I86:BL86">
    <cfRule type="expression" dxfId="187" priority="232">
      <formula>AND(タスク_開始&lt;=I$5,ROUNDDOWN((タスク_終了-タスク_開始+1)*タスク_進捗状況,0)+タスク_開始-1&gt;=I$5)</formula>
    </cfRule>
    <cfRule type="expression" dxfId="186" priority="233" stopIfTrue="1">
      <formula>AND(タスク_終了&gt;=I$5,タスク_開始&lt;J$5)</formula>
    </cfRule>
  </conditionalFormatting>
  <conditionalFormatting sqref="D87">
    <cfRule type="dataBar" priority="227">
      <dataBar>
        <cfvo type="num" val="0"/>
        <cfvo type="num" val="1"/>
        <color theme="0" tint="-0.249977111117893"/>
      </dataBar>
      <extLst>
        <ext xmlns:x14="http://schemas.microsoft.com/office/spreadsheetml/2009/9/main" uri="{B025F937-C7B1-47D3-B67F-A62EFF666E3E}">
          <x14:id>{60897657-402D-4F23-84D0-3C3386F2B5F6}</x14:id>
        </ext>
      </extLst>
    </cfRule>
  </conditionalFormatting>
  <conditionalFormatting sqref="I87:BL87">
    <cfRule type="expression" dxfId="185" priority="230">
      <formula>AND(TODAY()&gt;=I$5,TODAY()&lt;J$5)</formula>
    </cfRule>
  </conditionalFormatting>
  <conditionalFormatting sqref="I87:BL87">
    <cfRule type="expression" dxfId="184" priority="228">
      <formula>AND(タスク_開始&lt;=I$5,ROUNDDOWN((タスク_終了-タスク_開始+1)*タスク_進捗状況,0)+タスク_開始-1&gt;=I$5)</formula>
    </cfRule>
    <cfRule type="expression" dxfId="183" priority="229" stopIfTrue="1">
      <formula>AND(タスク_終了&gt;=I$5,タスク_開始&lt;J$5)</formula>
    </cfRule>
  </conditionalFormatting>
  <conditionalFormatting sqref="D88">
    <cfRule type="dataBar" priority="215">
      <dataBar>
        <cfvo type="num" val="0"/>
        <cfvo type="num" val="1"/>
        <color theme="0" tint="-0.249977111117893"/>
      </dataBar>
      <extLst>
        <ext xmlns:x14="http://schemas.microsoft.com/office/spreadsheetml/2009/9/main" uri="{B025F937-C7B1-47D3-B67F-A62EFF666E3E}">
          <x14:id>{F69A1681-8E02-41F7-94F0-200B538AC56E}</x14:id>
        </ext>
      </extLst>
    </cfRule>
  </conditionalFormatting>
  <conditionalFormatting sqref="I88:BL88">
    <cfRule type="expression" dxfId="182" priority="218">
      <formula>AND(TODAY()&gt;=I$5,TODAY()&lt;J$5)</formula>
    </cfRule>
  </conditionalFormatting>
  <conditionalFormatting sqref="I88:BL88">
    <cfRule type="expression" dxfId="181" priority="216">
      <formula>AND(タスク_開始&lt;=I$5,ROUNDDOWN((タスク_終了-タスク_開始+1)*タスク_進捗状況,0)+タスク_開始-1&gt;=I$5)</formula>
    </cfRule>
    <cfRule type="expression" dxfId="180" priority="217" stopIfTrue="1">
      <formula>AND(タスク_終了&gt;=I$5,タスク_開始&lt;J$5)</formula>
    </cfRule>
  </conditionalFormatting>
  <conditionalFormatting sqref="D89">
    <cfRule type="dataBar" priority="211">
      <dataBar>
        <cfvo type="num" val="0"/>
        <cfvo type="num" val="1"/>
        <color theme="0" tint="-0.249977111117893"/>
      </dataBar>
      <extLst>
        <ext xmlns:x14="http://schemas.microsoft.com/office/spreadsheetml/2009/9/main" uri="{B025F937-C7B1-47D3-B67F-A62EFF666E3E}">
          <x14:id>{9CC32F97-A7C5-4D88-96F4-7B03D72913F5}</x14:id>
        </ext>
      </extLst>
    </cfRule>
  </conditionalFormatting>
  <conditionalFormatting sqref="I89:BL89">
    <cfRule type="expression" dxfId="179" priority="214">
      <formula>AND(TODAY()&gt;=I$5,TODAY()&lt;J$5)</formula>
    </cfRule>
  </conditionalFormatting>
  <conditionalFormatting sqref="I89:BL89">
    <cfRule type="expression" dxfId="178" priority="212">
      <formula>AND(タスク_開始&lt;=I$5,ROUNDDOWN((タスク_終了-タスク_開始+1)*タスク_進捗状況,0)+タスク_開始-1&gt;=I$5)</formula>
    </cfRule>
    <cfRule type="expression" dxfId="177" priority="213" stopIfTrue="1">
      <formula>AND(タスク_終了&gt;=I$5,タスク_開始&lt;J$5)</formula>
    </cfRule>
  </conditionalFormatting>
  <conditionalFormatting sqref="D22:D25">
    <cfRule type="dataBar" priority="187">
      <dataBar>
        <cfvo type="num" val="0"/>
        <cfvo type="num" val="1"/>
        <color theme="0" tint="-0.249977111117893"/>
      </dataBar>
      <extLst>
        <ext xmlns:x14="http://schemas.microsoft.com/office/spreadsheetml/2009/9/main" uri="{B025F937-C7B1-47D3-B67F-A62EFF666E3E}">
          <x14:id>{7D180C2C-55F5-478A-AC03-104673016318}</x14:id>
        </ext>
      </extLst>
    </cfRule>
  </conditionalFormatting>
  <conditionalFormatting sqref="I22:BL25">
    <cfRule type="expression" dxfId="176" priority="190">
      <formula>AND(TODAY()&gt;=I$5,TODAY()&lt;J$5)</formula>
    </cfRule>
  </conditionalFormatting>
  <conditionalFormatting sqref="I22:BL25">
    <cfRule type="expression" dxfId="175" priority="188">
      <formula>AND(タスク_開始&lt;=I$5,ROUNDDOWN((タスク_終了-タスク_開始+1)*タスク_進捗状況,0)+タスク_開始-1&gt;=I$5)</formula>
    </cfRule>
    <cfRule type="expression" dxfId="174" priority="189" stopIfTrue="1">
      <formula>AND(タスク_終了&gt;=I$5,タスク_開始&lt;J$5)</formula>
    </cfRule>
  </conditionalFormatting>
  <conditionalFormatting sqref="D21">
    <cfRule type="dataBar" priority="183">
      <dataBar>
        <cfvo type="num" val="0"/>
        <cfvo type="num" val="1"/>
        <color theme="0" tint="-0.249977111117893"/>
      </dataBar>
      <extLst>
        <ext xmlns:x14="http://schemas.microsoft.com/office/spreadsheetml/2009/9/main" uri="{B025F937-C7B1-47D3-B67F-A62EFF666E3E}">
          <x14:id>{03261439-F662-4C35-95C0-1E0F863D39B8}</x14:id>
        </ext>
      </extLst>
    </cfRule>
  </conditionalFormatting>
  <conditionalFormatting sqref="I21:BL21">
    <cfRule type="expression" dxfId="173" priority="186">
      <formula>AND(TODAY()&gt;=I$5,TODAY()&lt;J$5)</formula>
    </cfRule>
  </conditionalFormatting>
  <conditionalFormatting sqref="I21:BL21">
    <cfRule type="expression" dxfId="172" priority="184">
      <formula>AND(タスク_開始&lt;=I$5,ROUNDDOWN((タスク_終了-タスク_開始+1)*タスク_進捗状況,0)+タスク_開始-1&gt;=I$5)</formula>
    </cfRule>
    <cfRule type="expression" dxfId="171" priority="185" stopIfTrue="1">
      <formula>AND(タスク_終了&gt;=I$5,タスク_開始&lt;J$5)</formula>
    </cfRule>
  </conditionalFormatting>
  <conditionalFormatting sqref="D48:D49">
    <cfRule type="dataBar" priority="179">
      <dataBar>
        <cfvo type="num" val="0"/>
        <cfvo type="num" val="1"/>
        <color theme="0" tint="-0.249977111117893"/>
      </dataBar>
      <extLst>
        <ext xmlns:x14="http://schemas.microsoft.com/office/spreadsheetml/2009/9/main" uri="{B025F937-C7B1-47D3-B67F-A62EFF666E3E}">
          <x14:id>{BEB7059F-4EC2-4043-B07D-E19F7C2423B9}</x14:id>
        </ext>
      </extLst>
    </cfRule>
  </conditionalFormatting>
  <conditionalFormatting sqref="I48:BL49">
    <cfRule type="expression" dxfId="170" priority="182">
      <formula>AND(TODAY()&gt;=I$5,TODAY()&lt;J$5)</formula>
    </cfRule>
  </conditionalFormatting>
  <conditionalFormatting sqref="I48:BL49">
    <cfRule type="expression" dxfId="169" priority="180">
      <formula>AND(タスク_開始&lt;=I$5,ROUNDDOWN((タスク_終了-タスク_開始+1)*タスク_進捗状況,0)+タスク_開始-1&gt;=I$5)</formula>
    </cfRule>
    <cfRule type="expression" dxfId="168" priority="181" stopIfTrue="1">
      <formula>AND(タスク_終了&gt;=I$5,タスク_開始&lt;J$5)</formula>
    </cfRule>
  </conditionalFormatting>
  <conditionalFormatting sqref="D83">
    <cfRule type="dataBar" priority="170">
      <dataBar>
        <cfvo type="num" val="0"/>
        <cfvo type="num" val="1"/>
        <color theme="0" tint="-0.249977111117893"/>
      </dataBar>
      <extLst>
        <ext xmlns:x14="http://schemas.microsoft.com/office/spreadsheetml/2009/9/main" uri="{B025F937-C7B1-47D3-B67F-A62EFF666E3E}">
          <x14:id>{BEC3AB7E-0641-4D2F-985B-9133A6AED8D2}</x14:id>
        </ext>
      </extLst>
    </cfRule>
  </conditionalFormatting>
  <conditionalFormatting sqref="D84">
    <cfRule type="dataBar" priority="169">
      <dataBar>
        <cfvo type="num" val="0"/>
        <cfvo type="num" val="1"/>
        <color theme="0" tint="-0.249977111117893"/>
      </dataBar>
      <extLst>
        <ext xmlns:x14="http://schemas.microsoft.com/office/spreadsheetml/2009/9/main" uri="{B025F937-C7B1-47D3-B67F-A62EFF666E3E}">
          <x14:id>{7F1BC557-00A9-4CA6-89A4-C81666F65CF2}</x14:id>
        </ext>
      </extLst>
    </cfRule>
  </conditionalFormatting>
  <conditionalFormatting sqref="CE48:CK49">
    <cfRule type="expression" dxfId="167" priority="1">
      <formula>AND(タスク_開始&lt;=CE$5,ROUNDDOWN((タスク_終了-タスク_開始+1)*タスク_進捗状況,0)+タスク_開始-1&gt;=CE$5)</formula>
    </cfRule>
    <cfRule type="expression" dxfId="166" priority="2" stopIfTrue="1">
      <formula>AND(タスク_終了&gt;=CE$5,タスク_開始&lt;CF$5)</formula>
    </cfRule>
  </conditionalFormatting>
  <conditionalFormatting sqref="BM5:BR13 BM15:BR20 BM26:BR47 BM50:BR80">
    <cfRule type="expression" dxfId="165" priority="168">
      <formula>AND(TODAY()&gt;=BM$5,TODAY()&lt;BN$5)</formula>
    </cfRule>
  </conditionalFormatting>
  <conditionalFormatting sqref="BM7:BR13 BM15:BR20 BM26:BR47 BM50:BR80">
    <cfRule type="expression" dxfId="164" priority="166">
      <formula>AND(タスク_開始&lt;=BM$5,ROUNDDOWN((タスク_終了-タスク_開始+1)*タスク_進捗状況,0)+タスク_開始-1&gt;=BM$5)</formula>
    </cfRule>
    <cfRule type="expression" dxfId="163" priority="167" stopIfTrue="1">
      <formula>AND(タスク_終了&gt;=BM$5,タスク_開始&lt;BN$5)</formula>
    </cfRule>
  </conditionalFormatting>
  <conditionalFormatting sqref="BM14:BR14">
    <cfRule type="expression" dxfId="162" priority="165">
      <formula>AND(TODAY()&gt;=BM$5,TODAY()&lt;BN$5)</formula>
    </cfRule>
  </conditionalFormatting>
  <conditionalFormatting sqref="BM14:BR14">
    <cfRule type="expression" dxfId="161" priority="163">
      <formula>AND(タスク_開始&lt;=BM$5,ROUNDDOWN((タスク_終了-タスク_開始+1)*タスク_進捗状況,0)+タスク_開始-1&gt;=BM$5)</formula>
    </cfRule>
    <cfRule type="expression" dxfId="160" priority="164" stopIfTrue="1">
      <formula>AND(タスク_終了&gt;=BM$5,タスク_開始&lt;BN$5)</formula>
    </cfRule>
  </conditionalFormatting>
  <conditionalFormatting sqref="BM81:BR81">
    <cfRule type="expression" dxfId="159" priority="162">
      <formula>AND(TODAY()&gt;=BM$5,TODAY()&lt;BN$5)</formula>
    </cfRule>
  </conditionalFormatting>
  <conditionalFormatting sqref="BM81:BR81">
    <cfRule type="expression" dxfId="158" priority="160">
      <formula>AND(タスク_開始&lt;=BM$5,ROUNDDOWN((タスク_終了-タスク_開始+1)*タスク_進捗状況,0)+タスク_開始-1&gt;=BM$5)</formula>
    </cfRule>
    <cfRule type="expression" dxfId="157" priority="161" stopIfTrue="1">
      <formula>AND(タスク_終了&gt;=BM$5,タスク_開始&lt;BN$5)</formula>
    </cfRule>
  </conditionalFormatting>
  <conditionalFormatting sqref="BM82:BR82">
    <cfRule type="expression" dxfId="156" priority="159">
      <formula>AND(TODAY()&gt;=BM$5,TODAY()&lt;BN$5)</formula>
    </cfRule>
  </conditionalFormatting>
  <conditionalFormatting sqref="BM82:BR82">
    <cfRule type="expression" dxfId="155" priority="157">
      <formula>AND(タスク_開始&lt;=BM$5,ROUNDDOWN((タスク_終了-タスク_開始+1)*タスク_進捗状況,0)+タスク_開始-1&gt;=BM$5)</formula>
    </cfRule>
    <cfRule type="expression" dxfId="154" priority="158" stopIfTrue="1">
      <formula>AND(タスク_終了&gt;=BM$5,タスク_開始&lt;BN$5)</formula>
    </cfRule>
  </conditionalFormatting>
  <conditionalFormatting sqref="BM83:BR83">
    <cfRule type="expression" dxfId="153" priority="156">
      <formula>AND(TODAY()&gt;=BM$5,TODAY()&lt;BN$5)</formula>
    </cfRule>
  </conditionalFormatting>
  <conditionalFormatting sqref="BM83:BR83">
    <cfRule type="expression" dxfId="152" priority="154">
      <formula>AND(タスク_開始&lt;=BM$5,ROUNDDOWN((タスク_終了-タスク_開始+1)*タスク_進捗状況,0)+タスク_開始-1&gt;=BM$5)</formula>
    </cfRule>
    <cfRule type="expression" dxfId="151" priority="155" stopIfTrue="1">
      <formula>AND(タスク_終了&gt;=BM$5,タスク_開始&lt;BN$5)</formula>
    </cfRule>
  </conditionalFormatting>
  <conditionalFormatting sqref="BM84:BR84">
    <cfRule type="expression" dxfId="150" priority="153">
      <formula>AND(TODAY()&gt;=BM$5,TODAY()&lt;BN$5)</formula>
    </cfRule>
  </conditionalFormatting>
  <conditionalFormatting sqref="BM84:BR84">
    <cfRule type="expression" dxfId="149" priority="151">
      <formula>AND(タスク_開始&lt;=BM$5,ROUNDDOWN((タスク_終了-タスク_開始+1)*タスク_進捗状況,0)+タスク_開始-1&gt;=BM$5)</formula>
    </cfRule>
    <cfRule type="expression" dxfId="148" priority="152" stopIfTrue="1">
      <formula>AND(タスク_終了&gt;=BM$5,タスク_開始&lt;BN$5)</formula>
    </cfRule>
  </conditionalFormatting>
  <conditionalFormatting sqref="BM85:BR85">
    <cfRule type="expression" dxfId="147" priority="150">
      <formula>AND(TODAY()&gt;=BM$5,TODAY()&lt;BN$5)</formula>
    </cfRule>
  </conditionalFormatting>
  <conditionalFormatting sqref="BM85:BR85">
    <cfRule type="expression" dxfId="146" priority="148">
      <formula>AND(タスク_開始&lt;=BM$5,ROUNDDOWN((タスク_終了-タスク_開始+1)*タスク_進捗状況,0)+タスク_開始-1&gt;=BM$5)</formula>
    </cfRule>
    <cfRule type="expression" dxfId="145" priority="149" stopIfTrue="1">
      <formula>AND(タスク_終了&gt;=BM$5,タスク_開始&lt;BN$5)</formula>
    </cfRule>
  </conditionalFormatting>
  <conditionalFormatting sqref="BM86:BR86">
    <cfRule type="expression" dxfId="144" priority="147">
      <formula>AND(TODAY()&gt;=BM$5,TODAY()&lt;BN$5)</formula>
    </cfRule>
  </conditionalFormatting>
  <conditionalFormatting sqref="BM86:BR86">
    <cfRule type="expression" dxfId="143" priority="145">
      <formula>AND(タスク_開始&lt;=BM$5,ROUNDDOWN((タスク_終了-タスク_開始+1)*タスク_進捗状況,0)+タスク_開始-1&gt;=BM$5)</formula>
    </cfRule>
    <cfRule type="expression" dxfId="142" priority="146" stopIfTrue="1">
      <formula>AND(タスク_終了&gt;=BM$5,タスク_開始&lt;BN$5)</formula>
    </cfRule>
  </conditionalFormatting>
  <conditionalFormatting sqref="BM87:BR87">
    <cfRule type="expression" dxfId="141" priority="144">
      <formula>AND(TODAY()&gt;=BM$5,TODAY()&lt;BN$5)</formula>
    </cfRule>
  </conditionalFormatting>
  <conditionalFormatting sqref="BM87:BR87">
    <cfRule type="expression" dxfId="140" priority="142">
      <formula>AND(タスク_開始&lt;=BM$5,ROUNDDOWN((タスク_終了-タスク_開始+1)*タスク_進捗状況,0)+タスク_開始-1&gt;=BM$5)</formula>
    </cfRule>
    <cfRule type="expression" dxfId="139" priority="143" stopIfTrue="1">
      <formula>AND(タスク_終了&gt;=BM$5,タスク_開始&lt;BN$5)</formula>
    </cfRule>
  </conditionalFormatting>
  <conditionalFormatting sqref="BM88:BR88">
    <cfRule type="expression" dxfId="138" priority="141">
      <formula>AND(TODAY()&gt;=BM$5,TODAY()&lt;BN$5)</formula>
    </cfRule>
  </conditionalFormatting>
  <conditionalFormatting sqref="BM88:BR88">
    <cfRule type="expression" dxfId="137" priority="139">
      <formula>AND(タスク_開始&lt;=BM$5,ROUNDDOWN((タスク_終了-タスク_開始+1)*タスク_進捗状況,0)+タスク_開始-1&gt;=BM$5)</formula>
    </cfRule>
    <cfRule type="expression" dxfId="136" priority="140" stopIfTrue="1">
      <formula>AND(タスク_終了&gt;=BM$5,タスク_開始&lt;BN$5)</formula>
    </cfRule>
  </conditionalFormatting>
  <conditionalFormatting sqref="BM89:BR89">
    <cfRule type="expression" dxfId="135" priority="138">
      <formula>AND(TODAY()&gt;=BM$5,TODAY()&lt;BN$5)</formula>
    </cfRule>
  </conditionalFormatting>
  <conditionalFormatting sqref="BM89:BR89">
    <cfRule type="expression" dxfId="134" priority="136">
      <formula>AND(タスク_開始&lt;=BM$5,ROUNDDOWN((タスク_終了-タスク_開始+1)*タスク_進捗状況,0)+タスク_開始-1&gt;=BM$5)</formula>
    </cfRule>
    <cfRule type="expression" dxfId="133" priority="137" stopIfTrue="1">
      <formula>AND(タスク_終了&gt;=BM$5,タスク_開始&lt;BN$5)</formula>
    </cfRule>
  </conditionalFormatting>
  <conditionalFormatting sqref="BM22:BR25">
    <cfRule type="expression" dxfId="132" priority="135">
      <formula>AND(TODAY()&gt;=BM$5,TODAY()&lt;BN$5)</formula>
    </cfRule>
  </conditionalFormatting>
  <conditionalFormatting sqref="BM22:BR25">
    <cfRule type="expression" dxfId="131" priority="133">
      <formula>AND(タスク_開始&lt;=BM$5,ROUNDDOWN((タスク_終了-タスク_開始+1)*タスク_進捗状況,0)+タスク_開始-1&gt;=BM$5)</formula>
    </cfRule>
    <cfRule type="expression" dxfId="130" priority="134" stopIfTrue="1">
      <formula>AND(タスク_終了&gt;=BM$5,タスク_開始&lt;BN$5)</formula>
    </cfRule>
  </conditionalFormatting>
  <conditionalFormatting sqref="BM21:BR21">
    <cfRule type="expression" dxfId="129" priority="132">
      <formula>AND(TODAY()&gt;=BM$5,TODAY()&lt;BN$5)</formula>
    </cfRule>
  </conditionalFormatting>
  <conditionalFormatting sqref="BM21:BR21">
    <cfRule type="expression" dxfId="128" priority="130">
      <formula>AND(タスク_開始&lt;=BM$5,ROUNDDOWN((タスク_終了-タスク_開始+1)*タスク_進捗状況,0)+タスク_開始-1&gt;=BM$5)</formula>
    </cfRule>
    <cfRule type="expression" dxfId="127" priority="131" stopIfTrue="1">
      <formula>AND(タスク_終了&gt;=BM$5,タスク_開始&lt;BN$5)</formula>
    </cfRule>
  </conditionalFormatting>
  <conditionalFormatting sqref="BM48:BR49">
    <cfRule type="expression" dxfId="126" priority="129">
      <formula>AND(TODAY()&gt;=BM$5,TODAY()&lt;BN$5)</formula>
    </cfRule>
  </conditionalFormatting>
  <conditionalFormatting sqref="BM48:BR49">
    <cfRule type="expression" dxfId="125" priority="127">
      <formula>AND(タスク_開始&lt;=BM$5,ROUNDDOWN((タスク_終了-タスク_開始+1)*タスク_進捗状況,0)+タスク_開始-1&gt;=BM$5)</formula>
    </cfRule>
    <cfRule type="expression" dxfId="124" priority="128" stopIfTrue="1">
      <formula>AND(タスク_終了&gt;=BM$5,タスク_開始&lt;BN$5)</formula>
    </cfRule>
  </conditionalFormatting>
  <conditionalFormatting sqref="BS5:BX13 BS15:BX20 BS26:BX47 BS50:BX80">
    <cfRule type="expression" dxfId="123" priority="126">
      <formula>AND(TODAY()&gt;=BS$5,TODAY()&lt;BT$5)</formula>
    </cfRule>
  </conditionalFormatting>
  <conditionalFormatting sqref="BS7:BX13 BS15:BX20 BS26:BX47 BS50:BX80">
    <cfRule type="expression" dxfId="122" priority="124">
      <formula>AND(タスク_開始&lt;=BS$5,ROUNDDOWN((タスク_終了-タスク_開始+1)*タスク_進捗状況,0)+タスク_開始-1&gt;=BS$5)</formula>
    </cfRule>
    <cfRule type="expression" dxfId="121" priority="125" stopIfTrue="1">
      <formula>AND(タスク_終了&gt;=BS$5,タスク_開始&lt;BT$5)</formula>
    </cfRule>
  </conditionalFormatting>
  <conditionalFormatting sqref="BS14:BX14">
    <cfRule type="expression" dxfId="120" priority="123">
      <formula>AND(TODAY()&gt;=BS$5,TODAY()&lt;BT$5)</formula>
    </cfRule>
  </conditionalFormatting>
  <conditionalFormatting sqref="BS14:BX14">
    <cfRule type="expression" dxfId="119" priority="121">
      <formula>AND(タスク_開始&lt;=BS$5,ROUNDDOWN((タスク_終了-タスク_開始+1)*タスク_進捗状況,0)+タスク_開始-1&gt;=BS$5)</formula>
    </cfRule>
    <cfRule type="expression" dxfId="118" priority="122" stopIfTrue="1">
      <formula>AND(タスク_終了&gt;=BS$5,タスク_開始&lt;BT$5)</formula>
    </cfRule>
  </conditionalFormatting>
  <conditionalFormatting sqref="BS81:BX81">
    <cfRule type="expression" dxfId="117" priority="120">
      <formula>AND(TODAY()&gt;=BS$5,TODAY()&lt;BT$5)</formula>
    </cfRule>
  </conditionalFormatting>
  <conditionalFormatting sqref="BS81:BX81">
    <cfRule type="expression" dxfId="116" priority="118">
      <formula>AND(タスク_開始&lt;=BS$5,ROUNDDOWN((タスク_終了-タスク_開始+1)*タスク_進捗状況,0)+タスク_開始-1&gt;=BS$5)</formula>
    </cfRule>
    <cfRule type="expression" dxfId="115" priority="119" stopIfTrue="1">
      <formula>AND(タスク_終了&gt;=BS$5,タスク_開始&lt;BT$5)</formula>
    </cfRule>
  </conditionalFormatting>
  <conditionalFormatting sqref="BS82:BX82">
    <cfRule type="expression" dxfId="114" priority="117">
      <formula>AND(TODAY()&gt;=BS$5,TODAY()&lt;BT$5)</formula>
    </cfRule>
  </conditionalFormatting>
  <conditionalFormatting sqref="BS82:BX82">
    <cfRule type="expression" dxfId="113" priority="115">
      <formula>AND(タスク_開始&lt;=BS$5,ROUNDDOWN((タスク_終了-タスク_開始+1)*タスク_進捗状況,0)+タスク_開始-1&gt;=BS$5)</formula>
    </cfRule>
    <cfRule type="expression" dxfId="112" priority="116" stopIfTrue="1">
      <formula>AND(タスク_終了&gt;=BS$5,タスク_開始&lt;BT$5)</formula>
    </cfRule>
  </conditionalFormatting>
  <conditionalFormatting sqref="BS83:BX83">
    <cfRule type="expression" dxfId="111" priority="114">
      <formula>AND(TODAY()&gt;=BS$5,TODAY()&lt;BT$5)</formula>
    </cfRule>
  </conditionalFormatting>
  <conditionalFormatting sqref="BS83:BX83">
    <cfRule type="expression" dxfId="110" priority="112">
      <formula>AND(タスク_開始&lt;=BS$5,ROUNDDOWN((タスク_終了-タスク_開始+1)*タスク_進捗状況,0)+タスク_開始-1&gt;=BS$5)</formula>
    </cfRule>
    <cfRule type="expression" dxfId="109" priority="113" stopIfTrue="1">
      <formula>AND(タスク_終了&gt;=BS$5,タスク_開始&lt;BT$5)</formula>
    </cfRule>
  </conditionalFormatting>
  <conditionalFormatting sqref="BS84:BX84">
    <cfRule type="expression" dxfId="108" priority="111">
      <formula>AND(TODAY()&gt;=BS$5,TODAY()&lt;BT$5)</formula>
    </cfRule>
  </conditionalFormatting>
  <conditionalFormatting sqref="BS84:BX84">
    <cfRule type="expression" dxfId="107" priority="109">
      <formula>AND(タスク_開始&lt;=BS$5,ROUNDDOWN((タスク_終了-タスク_開始+1)*タスク_進捗状況,0)+タスク_開始-1&gt;=BS$5)</formula>
    </cfRule>
    <cfRule type="expression" dxfId="106" priority="110" stopIfTrue="1">
      <formula>AND(タスク_終了&gt;=BS$5,タスク_開始&lt;BT$5)</formula>
    </cfRule>
  </conditionalFormatting>
  <conditionalFormatting sqref="BS85:BX85">
    <cfRule type="expression" dxfId="105" priority="108">
      <formula>AND(TODAY()&gt;=BS$5,TODAY()&lt;BT$5)</formula>
    </cfRule>
  </conditionalFormatting>
  <conditionalFormatting sqref="BS85:BX85">
    <cfRule type="expression" dxfId="104" priority="106">
      <formula>AND(タスク_開始&lt;=BS$5,ROUNDDOWN((タスク_終了-タスク_開始+1)*タスク_進捗状況,0)+タスク_開始-1&gt;=BS$5)</formula>
    </cfRule>
    <cfRule type="expression" dxfId="103" priority="107" stopIfTrue="1">
      <formula>AND(タスク_終了&gt;=BS$5,タスク_開始&lt;BT$5)</formula>
    </cfRule>
  </conditionalFormatting>
  <conditionalFormatting sqref="BS86:BX86">
    <cfRule type="expression" dxfId="102" priority="105">
      <formula>AND(TODAY()&gt;=BS$5,TODAY()&lt;BT$5)</formula>
    </cfRule>
  </conditionalFormatting>
  <conditionalFormatting sqref="BS86:BX86">
    <cfRule type="expression" dxfId="101" priority="103">
      <formula>AND(タスク_開始&lt;=BS$5,ROUNDDOWN((タスク_終了-タスク_開始+1)*タスク_進捗状況,0)+タスク_開始-1&gt;=BS$5)</formula>
    </cfRule>
    <cfRule type="expression" dxfId="100" priority="104" stopIfTrue="1">
      <formula>AND(タスク_終了&gt;=BS$5,タスク_開始&lt;BT$5)</formula>
    </cfRule>
  </conditionalFormatting>
  <conditionalFormatting sqref="BS87:BX87">
    <cfRule type="expression" dxfId="99" priority="102">
      <formula>AND(TODAY()&gt;=BS$5,TODAY()&lt;BT$5)</formula>
    </cfRule>
  </conditionalFormatting>
  <conditionalFormatting sqref="BS87:BX87">
    <cfRule type="expression" dxfId="98" priority="100">
      <formula>AND(タスク_開始&lt;=BS$5,ROUNDDOWN((タスク_終了-タスク_開始+1)*タスク_進捗状況,0)+タスク_開始-1&gt;=BS$5)</formula>
    </cfRule>
    <cfRule type="expression" dxfId="97" priority="101" stopIfTrue="1">
      <formula>AND(タスク_終了&gt;=BS$5,タスク_開始&lt;BT$5)</formula>
    </cfRule>
  </conditionalFormatting>
  <conditionalFormatting sqref="BS88:BX88">
    <cfRule type="expression" dxfId="96" priority="99">
      <formula>AND(TODAY()&gt;=BS$5,TODAY()&lt;BT$5)</formula>
    </cfRule>
  </conditionalFormatting>
  <conditionalFormatting sqref="BS88:BX88">
    <cfRule type="expression" dxfId="95" priority="97">
      <formula>AND(タスク_開始&lt;=BS$5,ROUNDDOWN((タスク_終了-タスク_開始+1)*タスク_進捗状況,0)+タスク_開始-1&gt;=BS$5)</formula>
    </cfRule>
    <cfRule type="expression" dxfId="94" priority="98" stopIfTrue="1">
      <formula>AND(タスク_終了&gt;=BS$5,タスク_開始&lt;BT$5)</formula>
    </cfRule>
  </conditionalFormatting>
  <conditionalFormatting sqref="BS89:BX89">
    <cfRule type="expression" dxfId="93" priority="96">
      <formula>AND(TODAY()&gt;=BS$5,TODAY()&lt;BT$5)</formula>
    </cfRule>
  </conditionalFormatting>
  <conditionalFormatting sqref="BS89:BX89">
    <cfRule type="expression" dxfId="92" priority="94">
      <formula>AND(タスク_開始&lt;=BS$5,ROUNDDOWN((タスク_終了-タスク_開始+1)*タスク_進捗状況,0)+タスク_開始-1&gt;=BS$5)</formula>
    </cfRule>
    <cfRule type="expression" dxfId="91" priority="95" stopIfTrue="1">
      <formula>AND(タスク_終了&gt;=BS$5,タスク_開始&lt;BT$5)</formula>
    </cfRule>
  </conditionalFormatting>
  <conditionalFormatting sqref="BS22:BX25">
    <cfRule type="expression" dxfId="90" priority="93">
      <formula>AND(TODAY()&gt;=BS$5,TODAY()&lt;BT$5)</formula>
    </cfRule>
  </conditionalFormatting>
  <conditionalFormatting sqref="BS22:BX25">
    <cfRule type="expression" dxfId="89" priority="91">
      <formula>AND(タスク_開始&lt;=BS$5,ROUNDDOWN((タスク_終了-タスク_開始+1)*タスク_進捗状況,0)+タスク_開始-1&gt;=BS$5)</formula>
    </cfRule>
    <cfRule type="expression" dxfId="88" priority="92" stopIfTrue="1">
      <formula>AND(タスク_終了&gt;=BS$5,タスク_開始&lt;BT$5)</formula>
    </cfRule>
  </conditionalFormatting>
  <conditionalFormatting sqref="BS21:BX21">
    <cfRule type="expression" dxfId="87" priority="90">
      <formula>AND(TODAY()&gt;=BS$5,TODAY()&lt;BT$5)</formula>
    </cfRule>
  </conditionalFormatting>
  <conditionalFormatting sqref="BS21:BX21">
    <cfRule type="expression" dxfId="86" priority="88">
      <formula>AND(タスク_開始&lt;=BS$5,ROUNDDOWN((タスク_終了-タスク_開始+1)*タスク_進捗状況,0)+タスク_開始-1&gt;=BS$5)</formula>
    </cfRule>
    <cfRule type="expression" dxfId="85" priority="89" stopIfTrue="1">
      <formula>AND(タスク_終了&gt;=BS$5,タスク_開始&lt;BT$5)</formula>
    </cfRule>
  </conditionalFormatting>
  <conditionalFormatting sqref="BS48:BX49">
    <cfRule type="expression" dxfId="84" priority="87">
      <formula>AND(TODAY()&gt;=BS$5,TODAY()&lt;BT$5)</formula>
    </cfRule>
  </conditionalFormatting>
  <conditionalFormatting sqref="BS48:BX49">
    <cfRule type="expression" dxfId="83" priority="85">
      <formula>AND(タスク_開始&lt;=BS$5,ROUNDDOWN((タスク_終了-タスク_開始+1)*タスク_進捗状況,0)+タスク_開始-1&gt;=BS$5)</formula>
    </cfRule>
    <cfRule type="expression" dxfId="82" priority="86" stopIfTrue="1">
      <formula>AND(タスク_終了&gt;=BS$5,タスク_開始&lt;BT$5)</formula>
    </cfRule>
  </conditionalFormatting>
  <conditionalFormatting sqref="BY5:CD13 BY15:CD20 BY26:CD47 BY50:CD80">
    <cfRule type="expression" dxfId="81" priority="84">
      <formula>AND(TODAY()&gt;=BY$5,TODAY()&lt;BZ$5)</formula>
    </cfRule>
  </conditionalFormatting>
  <conditionalFormatting sqref="BY7:CD13 BY15:CD20 BY26:CD47 BY50:CD80">
    <cfRule type="expression" dxfId="80" priority="82">
      <formula>AND(タスク_開始&lt;=BY$5,ROUNDDOWN((タスク_終了-タスク_開始+1)*タスク_進捗状況,0)+タスク_開始-1&gt;=BY$5)</formula>
    </cfRule>
    <cfRule type="expression" dxfId="79" priority="83" stopIfTrue="1">
      <formula>AND(タスク_終了&gt;=BY$5,タスク_開始&lt;BZ$5)</formula>
    </cfRule>
  </conditionalFormatting>
  <conditionalFormatting sqref="BY14:CD14">
    <cfRule type="expression" dxfId="78" priority="81">
      <formula>AND(TODAY()&gt;=BY$5,TODAY()&lt;BZ$5)</formula>
    </cfRule>
  </conditionalFormatting>
  <conditionalFormatting sqref="BY14:CD14">
    <cfRule type="expression" dxfId="77" priority="79">
      <formula>AND(タスク_開始&lt;=BY$5,ROUNDDOWN((タスク_終了-タスク_開始+1)*タスク_進捗状況,0)+タスク_開始-1&gt;=BY$5)</formula>
    </cfRule>
    <cfRule type="expression" dxfId="76" priority="80" stopIfTrue="1">
      <formula>AND(タスク_終了&gt;=BY$5,タスク_開始&lt;BZ$5)</formula>
    </cfRule>
  </conditionalFormatting>
  <conditionalFormatting sqref="BY81:CD81">
    <cfRule type="expression" dxfId="75" priority="78">
      <formula>AND(TODAY()&gt;=BY$5,TODAY()&lt;BZ$5)</formula>
    </cfRule>
  </conditionalFormatting>
  <conditionalFormatting sqref="BY81:CD81">
    <cfRule type="expression" dxfId="74" priority="76">
      <formula>AND(タスク_開始&lt;=BY$5,ROUNDDOWN((タスク_終了-タスク_開始+1)*タスク_進捗状況,0)+タスク_開始-1&gt;=BY$5)</formula>
    </cfRule>
    <cfRule type="expression" dxfId="73" priority="77" stopIfTrue="1">
      <formula>AND(タスク_終了&gt;=BY$5,タスク_開始&lt;BZ$5)</formula>
    </cfRule>
  </conditionalFormatting>
  <conditionalFormatting sqref="BY82:CD82">
    <cfRule type="expression" dxfId="72" priority="75">
      <formula>AND(TODAY()&gt;=BY$5,TODAY()&lt;BZ$5)</formula>
    </cfRule>
  </conditionalFormatting>
  <conditionalFormatting sqref="BY82:CD82">
    <cfRule type="expression" dxfId="71" priority="73">
      <formula>AND(タスク_開始&lt;=BY$5,ROUNDDOWN((タスク_終了-タスク_開始+1)*タスク_進捗状況,0)+タスク_開始-1&gt;=BY$5)</formula>
    </cfRule>
    <cfRule type="expression" dxfId="70" priority="74" stopIfTrue="1">
      <formula>AND(タスク_終了&gt;=BY$5,タスク_開始&lt;BZ$5)</formula>
    </cfRule>
  </conditionalFormatting>
  <conditionalFormatting sqref="BY83:CD83">
    <cfRule type="expression" dxfId="69" priority="72">
      <formula>AND(TODAY()&gt;=BY$5,TODAY()&lt;BZ$5)</formula>
    </cfRule>
  </conditionalFormatting>
  <conditionalFormatting sqref="BY83:CD83">
    <cfRule type="expression" dxfId="68" priority="70">
      <formula>AND(タスク_開始&lt;=BY$5,ROUNDDOWN((タスク_終了-タスク_開始+1)*タスク_進捗状況,0)+タスク_開始-1&gt;=BY$5)</formula>
    </cfRule>
    <cfRule type="expression" dxfId="67" priority="71" stopIfTrue="1">
      <formula>AND(タスク_終了&gt;=BY$5,タスク_開始&lt;BZ$5)</formula>
    </cfRule>
  </conditionalFormatting>
  <conditionalFormatting sqref="BY84:CD84">
    <cfRule type="expression" dxfId="66" priority="69">
      <formula>AND(TODAY()&gt;=BY$5,TODAY()&lt;BZ$5)</formula>
    </cfRule>
  </conditionalFormatting>
  <conditionalFormatting sqref="BY84:CD84">
    <cfRule type="expression" dxfId="65" priority="67">
      <formula>AND(タスク_開始&lt;=BY$5,ROUNDDOWN((タスク_終了-タスク_開始+1)*タスク_進捗状況,0)+タスク_開始-1&gt;=BY$5)</formula>
    </cfRule>
    <cfRule type="expression" dxfId="64" priority="68" stopIfTrue="1">
      <formula>AND(タスク_終了&gt;=BY$5,タスク_開始&lt;BZ$5)</formula>
    </cfRule>
  </conditionalFormatting>
  <conditionalFormatting sqref="BY85:CD85">
    <cfRule type="expression" dxfId="63" priority="66">
      <formula>AND(TODAY()&gt;=BY$5,TODAY()&lt;BZ$5)</formula>
    </cfRule>
  </conditionalFormatting>
  <conditionalFormatting sqref="BY85:CD85">
    <cfRule type="expression" dxfId="62" priority="64">
      <formula>AND(タスク_開始&lt;=BY$5,ROUNDDOWN((タスク_終了-タスク_開始+1)*タスク_進捗状況,0)+タスク_開始-1&gt;=BY$5)</formula>
    </cfRule>
    <cfRule type="expression" dxfId="61" priority="65" stopIfTrue="1">
      <formula>AND(タスク_終了&gt;=BY$5,タスク_開始&lt;BZ$5)</formula>
    </cfRule>
  </conditionalFormatting>
  <conditionalFormatting sqref="BY86:CD86">
    <cfRule type="expression" dxfId="60" priority="63">
      <formula>AND(TODAY()&gt;=BY$5,TODAY()&lt;BZ$5)</formula>
    </cfRule>
  </conditionalFormatting>
  <conditionalFormatting sqref="BY86:CD86">
    <cfRule type="expression" dxfId="59" priority="61">
      <formula>AND(タスク_開始&lt;=BY$5,ROUNDDOWN((タスク_終了-タスク_開始+1)*タスク_進捗状況,0)+タスク_開始-1&gt;=BY$5)</formula>
    </cfRule>
    <cfRule type="expression" dxfId="58" priority="62" stopIfTrue="1">
      <formula>AND(タスク_終了&gt;=BY$5,タスク_開始&lt;BZ$5)</formula>
    </cfRule>
  </conditionalFormatting>
  <conditionalFormatting sqref="BY87:CD87">
    <cfRule type="expression" dxfId="57" priority="60">
      <formula>AND(TODAY()&gt;=BY$5,TODAY()&lt;BZ$5)</formula>
    </cfRule>
  </conditionalFormatting>
  <conditionalFormatting sqref="BY87:CD87">
    <cfRule type="expression" dxfId="56" priority="58">
      <formula>AND(タスク_開始&lt;=BY$5,ROUNDDOWN((タスク_終了-タスク_開始+1)*タスク_進捗状況,0)+タスク_開始-1&gt;=BY$5)</formula>
    </cfRule>
    <cfRule type="expression" dxfId="55" priority="59" stopIfTrue="1">
      <formula>AND(タスク_終了&gt;=BY$5,タスク_開始&lt;BZ$5)</formula>
    </cfRule>
  </conditionalFormatting>
  <conditionalFormatting sqref="BY88:CD88">
    <cfRule type="expression" dxfId="54" priority="57">
      <formula>AND(TODAY()&gt;=BY$5,TODAY()&lt;BZ$5)</formula>
    </cfRule>
  </conditionalFormatting>
  <conditionalFormatting sqref="BY88:CD88">
    <cfRule type="expression" dxfId="53" priority="55">
      <formula>AND(タスク_開始&lt;=BY$5,ROUNDDOWN((タスク_終了-タスク_開始+1)*タスク_進捗状況,0)+タスク_開始-1&gt;=BY$5)</formula>
    </cfRule>
    <cfRule type="expression" dxfId="52" priority="56" stopIfTrue="1">
      <formula>AND(タスク_終了&gt;=BY$5,タスク_開始&lt;BZ$5)</formula>
    </cfRule>
  </conditionalFormatting>
  <conditionalFormatting sqref="BY89:CD89">
    <cfRule type="expression" dxfId="51" priority="54">
      <formula>AND(TODAY()&gt;=BY$5,TODAY()&lt;BZ$5)</formula>
    </cfRule>
  </conditionalFormatting>
  <conditionalFormatting sqref="BY89:CD89">
    <cfRule type="expression" dxfId="50" priority="52">
      <formula>AND(タスク_開始&lt;=BY$5,ROUNDDOWN((タスク_終了-タスク_開始+1)*タスク_進捗状況,0)+タスク_開始-1&gt;=BY$5)</formula>
    </cfRule>
    <cfRule type="expression" dxfId="49" priority="53" stopIfTrue="1">
      <formula>AND(タスク_終了&gt;=BY$5,タスク_開始&lt;BZ$5)</formula>
    </cfRule>
  </conditionalFormatting>
  <conditionalFormatting sqref="BY22:CD25">
    <cfRule type="expression" dxfId="48" priority="51">
      <formula>AND(TODAY()&gt;=BY$5,TODAY()&lt;BZ$5)</formula>
    </cfRule>
  </conditionalFormatting>
  <conditionalFormatting sqref="BY22:CD25">
    <cfRule type="expression" dxfId="47" priority="49">
      <formula>AND(タスク_開始&lt;=BY$5,ROUNDDOWN((タスク_終了-タスク_開始+1)*タスク_進捗状況,0)+タスク_開始-1&gt;=BY$5)</formula>
    </cfRule>
    <cfRule type="expression" dxfId="46" priority="50" stopIfTrue="1">
      <formula>AND(タスク_終了&gt;=BY$5,タスク_開始&lt;BZ$5)</formula>
    </cfRule>
  </conditionalFormatting>
  <conditionalFormatting sqref="BY21:CD21">
    <cfRule type="expression" dxfId="45" priority="48">
      <formula>AND(TODAY()&gt;=BY$5,TODAY()&lt;BZ$5)</formula>
    </cfRule>
  </conditionalFormatting>
  <conditionalFormatting sqref="BY21:CD21">
    <cfRule type="expression" dxfId="44" priority="46">
      <formula>AND(タスク_開始&lt;=BY$5,ROUNDDOWN((タスク_終了-タスク_開始+1)*タスク_進捗状況,0)+タスク_開始-1&gt;=BY$5)</formula>
    </cfRule>
    <cfRule type="expression" dxfId="43" priority="47" stopIfTrue="1">
      <formula>AND(タスク_終了&gt;=BY$5,タスク_開始&lt;BZ$5)</formula>
    </cfRule>
  </conditionalFormatting>
  <conditionalFormatting sqref="BY48:CD49">
    <cfRule type="expression" dxfId="42" priority="45">
      <formula>AND(TODAY()&gt;=BY$5,TODAY()&lt;BZ$5)</formula>
    </cfRule>
  </conditionalFormatting>
  <conditionalFormatting sqref="BY48:CD49">
    <cfRule type="expression" dxfId="41" priority="43">
      <formula>AND(タスク_開始&lt;=BY$5,ROUNDDOWN((タスク_終了-タスク_開始+1)*タスク_進捗状況,0)+タスク_開始-1&gt;=BY$5)</formula>
    </cfRule>
    <cfRule type="expression" dxfId="40" priority="44" stopIfTrue="1">
      <formula>AND(タスク_終了&gt;=BY$5,タスク_開始&lt;BZ$5)</formula>
    </cfRule>
  </conditionalFormatting>
  <conditionalFormatting sqref="CE5:CK13 CE15:CK20 CE26:CK47 CE50:CK80">
    <cfRule type="expression" dxfId="39" priority="42">
      <formula>AND(TODAY()&gt;=CE$5,TODAY()&lt;CF$5)</formula>
    </cfRule>
  </conditionalFormatting>
  <conditionalFormatting sqref="CE7:CK13 CE15:CK20 CE26:CK47 CE50:CK80">
    <cfRule type="expression" dxfId="38" priority="40">
      <formula>AND(タスク_開始&lt;=CE$5,ROUNDDOWN((タスク_終了-タスク_開始+1)*タスク_進捗状況,0)+タスク_開始-1&gt;=CE$5)</formula>
    </cfRule>
    <cfRule type="expression" dxfId="37" priority="41" stopIfTrue="1">
      <formula>AND(タスク_終了&gt;=CE$5,タスク_開始&lt;CF$5)</formula>
    </cfRule>
  </conditionalFormatting>
  <conditionalFormatting sqref="CE14:CK14">
    <cfRule type="expression" dxfId="36" priority="39">
      <formula>AND(TODAY()&gt;=CE$5,TODAY()&lt;CF$5)</formula>
    </cfRule>
  </conditionalFormatting>
  <conditionalFormatting sqref="CE14:CK14">
    <cfRule type="expression" dxfId="35" priority="37">
      <formula>AND(タスク_開始&lt;=CE$5,ROUNDDOWN((タスク_終了-タスク_開始+1)*タスク_進捗状況,0)+タスク_開始-1&gt;=CE$5)</formula>
    </cfRule>
    <cfRule type="expression" dxfId="34" priority="38" stopIfTrue="1">
      <formula>AND(タスク_終了&gt;=CE$5,タスク_開始&lt;CF$5)</formula>
    </cfRule>
  </conditionalFormatting>
  <conditionalFormatting sqref="CE81:CK81">
    <cfRule type="expression" dxfId="33" priority="36">
      <formula>AND(TODAY()&gt;=CE$5,TODAY()&lt;CF$5)</formula>
    </cfRule>
  </conditionalFormatting>
  <conditionalFormatting sqref="CE81:CK81">
    <cfRule type="expression" dxfId="32" priority="34">
      <formula>AND(タスク_開始&lt;=CE$5,ROUNDDOWN((タスク_終了-タスク_開始+1)*タスク_進捗状況,0)+タスク_開始-1&gt;=CE$5)</formula>
    </cfRule>
    <cfRule type="expression" dxfId="31" priority="35" stopIfTrue="1">
      <formula>AND(タスク_終了&gt;=CE$5,タスク_開始&lt;CF$5)</formula>
    </cfRule>
  </conditionalFormatting>
  <conditionalFormatting sqref="CE82:CK82">
    <cfRule type="expression" dxfId="30" priority="33">
      <formula>AND(TODAY()&gt;=CE$5,TODAY()&lt;CF$5)</formula>
    </cfRule>
  </conditionalFormatting>
  <conditionalFormatting sqref="CE82:CK82">
    <cfRule type="expression" dxfId="29" priority="31">
      <formula>AND(タスク_開始&lt;=CE$5,ROUNDDOWN((タスク_終了-タスク_開始+1)*タスク_進捗状況,0)+タスク_開始-1&gt;=CE$5)</formula>
    </cfRule>
    <cfRule type="expression" dxfId="28" priority="32" stopIfTrue="1">
      <formula>AND(タスク_終了&gt;=CE$5,タスク_開始&lt;CF$5)</formula>
    </cfRule>
  </conditionalFormatting>
  <conditionalFormatting sqref="CE83:CK83">
    <cfRule type="expression" dxfId="27" priority="30">
      <formula>AND(TODAY()&gt;=CE$5,TODAY()&lt;CF$5)</formula>
    </cfRule>
  </conditionalFormatting>
  <conditionalFormatting sqref="CE83:CK83">
    <cfRule type="expression" dxfId="26" priority="28">
      <formula>AND(タスク_開始&lt;=CE$5,ROUNDDOWN((タスク_終了-タスク_開始+1)*タスク_進捗状況,0)+タスク_開始-1&gt;=CE$5)</formula>
    </cfRule>
    <cfRule type="expression" dxfId="25" priority="29" stopIfTrue="1">
      <formula>AND(タスク_終了&gt;=CE$5,タスク_開始&lt;CF$5)</formula>
    </cfRule>
  </conditionalFormatting>
  <conditionalFormatting sqref="CE84:CK84">
    <cfRule type="expression" dxfId="24" priority="27">
      <formula>AND(TODAY()&gt;=CE$5,TODAY()&lt;CF$5)</formula>
    </cfRule>
  </conditionalFormatting>
  <conditionalFormatting sqref="CE84:CK84">
    <cfRule type="expression" dxfId="23" priority="25">
      <formula>AND(タスク_開始&lt;=CE$5,ROUNDDOWN((タスク_終了-タスク_開始+1)*タスク_進捗状況,0)+タスク_開始-1&gt;=CE$5)</formula>
    </cfRule>
    <cfRule type="expression" dxfId="22" priority="26" stopIfTrue="1">
      <formula>AND(タスク_終了&gt;=CE$5,タスク_開始&lt;CF$5)</formula>
    </cfRule>
  </conditionalFormatting>
  <conditionalFormatting sqref="CE85:CK85">
    <cfRule type="expression" dxfId="21" priority="24">
      <formula>AND(TODAY()&gt;=CE$5,TODAY()&lt;CF$5)</formula>
    </cfRule>
  </conditionalFormatting>
  <conditionalFormatting sqref="CE85:CK85">
    <cfRule type="expression" dxfId="20" priority="22">
      <formula>AND(タスク_開始&lt;=CE$5,ROUNDDOWN((タスク_終了-タスク_開始+1)*タスク_進捗状況,0)+タスク_開始-1&gt;=CE$5)</formula>
    </cfRule>
    <cfRule type="expression" dxfId="19" priority="23" stopIfTrue="1">
      <formula>AND(タスク_終了&gt;=CE$5,タスク_開始&lt;CF$5)</formula>
    </cfRule>
  </conditionalFormatting>
  <conditionalFormatting sqref="CE86:CK86">
    <cfRule type="expression" dxfId="18" priority="21">
      <formula>AND(TODAY()&gt;=CE$5,TODAY()&lt;CF$5)</formula>
    </cfRule>
  </conditionalFormatting>
  <conditionalFormatting sqref="CE86:CK86">
    <cfRule type="expression" dxfId="17" priority="19">
      <formula>AND(タスク_開始&lt;=CE$5,ROUNDDOWN((タスク_終了-タスク_開始+1)*タスク_進捗状況,0)+タスク_開始-1&gt;=CE$5)</formula>
    </cfRule>
    <cfRule type="expression" dxfId="16" priority="20" stopIfTrue="1">
      <formula>AND(タスク_終了&gt;=CE$5,タスク_開始&lt;CF$5)</formula>
    </cfRule>
  </conditionalFormatting>
  <conditionalFormatting sqref="CE87:CK87">
    <cfRule type="expression" dxfId="15" priority="18">
      <formula>AND(TODAY()&gt;=CE$5,TODAY()&lt;CF$5)</formula>
    </cfRule>
  </conditionalFormatting>
  <conditionalFormatting sqref="CE87:CK87">
    <cfRule type="expression" dxfId="14" priority="16">
      <formula>AND(タスク_開始&lt;=CE$5,ROUNDDOWN((タスク_終了-タスク_開始+1)*タスク_進捗状況,0)+タスク_開始-1&gt;=CE$5)</formula>
    </cfRule>
    <cfRule type="expression" dxfId="13" priority="17" stopIfTrue="1">
      <formula>AND(タスク_終了&gt;=CE$5,タスク_開始&lt;CF$5)</formula>
    </cfRule>
  </conditionalFormatting>
  <conditionalFormatting sqref="CE88:CK88">
    <cfRule type="expression" dxfId="12" priority="15">
      <formula>AND(TODAY()&gt;=CE$5,TODAY()&lt;CF$5)</formula>
    </cfRule>
  </conditionalFormatting>
  <conditionalFormatting sqref="CE88:CK88">
    <cfRule type="expression" dxfId="11" priority="13">
      <formula>AND(タスク_開始&lt;=CE$5,ROUNDDOWN((タスク_終了-タスク_開始+1)*タスク_進捗状況,0)+タスク_開始-1&gt;=CE$5)</formula>
    </cfRule>
    <cfRule type="expression" dxfId="10" priority="14" stopIfTrue="1">
      <formula>AND(タスク_終了&gt;=CE$5,タスク_開始&lt;CF$5)</formula>
    </cfRule>
  </conditionalFormatting>
  <conditionalFormatting sqref="CE89:CK89">
    <cfRule type="expression" dxfId="9" priority="12">
      <formula>AND(TODAY()&gt;=CE$5,TODAY()&lt;CF$5)</formula>
    </cfRule>
  </conditionalFormatting>
  <conditionalFormatting sqref="CE89:CK89">
    <cfRule type="expression" dxfId="8" priority="10">
      <formula>AND(タスク_開始&lt;=CE$5,ROUNDDOWN((タスク_終了-タスク_開始+1)*タスク_進捗状況,0)+タスク_開始-1&gt;=CE$5)</formula>
    </cfRule>
    <cfRule type="expression" dxfId="7" priority="11" stopIfTrue="1">
      <formula>AND(タスク_終了&gt;=CE$5,タスク_開始&lt;CF$5)</formula>
    </cfRule>
  </conditionalFormatting>
  <conditionalFormatting sqref="CE22:CK25">
    <cfRule type="expression" dxfId="6" priority="9">
      <formula>AND(TODAY()&gt;=CE$5,TODAY()&lt;CF$5)</formula>
    </cfRule>
  </conditionalFormatting>
  <conditionalFormatting sqref="CE22:CK25">
    <cfRule type="expression" dxfId="5" priority="7">
      <formula>AND(タスク_開始&lt;=CE$5,ROUNDDOWN((タスク_終了-タスク_開始+1)*タスク_進捗状況,0)+タスク_開始-1&gt;=CE$5)</formula>
    </cfRule>
    <cfRule type="expression" dxfId="4" priority="8" stopIfTrue="1">
      <formula>AND(タスク_終了&gt;=CE$5,タスク_開始&lt;CF$5)</formula>
    </cfRule>
  </conditionalFormatting>
  <conditionalFormatting sqref="CE21:CK21">
    <cfRule type="expression" dxfId="3" priority="6">
      <formula>AND(TODAY()&gt;=CE$5,TODAY()&lt;CF$5)</formula>
    </cfRule>
  </conditionalFormatting>
  <conditionalFormatting sqref="CE21:CK21">
    <cfRule type="expression" dxfId="2" priority="4">
      <formula>AND(タスク_開始&lt;=CE$5,ROUNDDOWN((タスク_終了-タスク_開始+1)*タスク_進捗状況,0)+タスク_開始-1&gt;=CE$5)</formula>
    </cfRule>
    <cfRule type="expression" dxfId="1" priority="5" stopIfTrue="1">
      <formula>AND(タスク_終了&gt;=CE$5,タスク_開始&lt;CF$5)</formula>
    </cfRule>
  </conditionalFormatting>
  <conditionalFormatting sqref="CE48:CK49">
    <cfRule type="expression" dxfId="0" priority="3">
      <formula>AND(TODAY()&gt;=CE$5,TODAY()&lt;CF$5)</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colBreaks count="1" manualBreakCount="1">
    <brk id="1"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D15:D20 D26:D47 D50:D80</xm:sqref>
        </x14:conditionalFormatting>
        <x14:conditionalFormatting xmlns:xm="http://schemas.microsoft.com/office/excel/2006/main">
          <x14:cfRule type="dataBar" id="{B856810B-3143-4EB8-9484-D2A8550734EC}">
            <x14:dataBar minLength="0" maxLength="100" gradient="0">
              <x14:cfvo type="num">
                <xm:f>0</xm:f>
              </x14:cfvo>
              <x14:cfvo type="num">
                <xm:f>1</xm:f>
              </x14:cfvo>
              <x14:negativeFillColor rgb="FFFF0000"/>
              <x14:axisColor rgb="FF000000"/>
            </x14:dataBar>
          </x14:cfRule>
          <xm:sqref>D14</xm:sqref>
        </x14:conditionalFormatting>
        <x14:conditionalFormatting xmlns:xm="http://schemas.microsoft.com/office/excel/2006/main">
          <x14:cfRule type="dataBar" id="{A337BCAA-C4DB-4278-82AB-E3F95D3297A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F8658D12-1BDA-4870-B161-391B486638C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B0896403-1117-4AAB-B058-74FF98C20B58}">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272C1C02-5D00-4E79-BD75-D086B0EE91A6}">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60897657-402D-4F23-84D0-3C3386F2B5F6}">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F69A1681-8E02-41F7-94F0-200B538AC56E}">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9CC32F97-A7C5-4D88-96F4-7B03D72913F5}">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7D180C2C-55F5-478A-AC03-104673016318}">
            <x14:dataBar minLength="0" maxLength="100" gradient="0">
              <x14:cfvo type="num">
                <xm:f>0</xm:f>
              </x14:cfvo>
              <x14:cfvo type="num">
                <xm:f>1</xm:f>
              </x14:cfvo>
              <x14:negativeFillColor rgb="FFFF0000"/>
              <x14:axisColor rgb="FF000000"/>
            </x14:dataBar>
          </x14:cfRule>
          <xm:sqref>D22:D25</xm:sqref>
        </x14:conditionalFormatting>
        <x14:conditionalFormatting xmlns:xm="http://schemas.microsoft.com/office/excel/2006/main">
          <x14:cfRule type="dataBar" id="{03261439-F662-4C35-95C0-1E0F863D39B8}">
            <x14:dataBar minLength="0" maxLength="100" gradient="0">
              <x14:cfvo type="num">
                <xm:f>0</xm:f>
              </x14:cfvo>
              <x14:cfvo type="num">
                <xm:f>1</xm:f>
              </x14:cfvo>
              <x14:negativeFillColor rgb="FFFF0000"/>
              <x14:axisColor rgb="FF000000"/>
            </x14:dataBar>
          </x14:cfRule>
          <xm:sqref>D21</xm:sqref>
        </x14:conditionalFormatting>
        <x14:conditionalFormatting xmlns:xm="http://schemas.microsoft.com/office/excel/2006/main">
          <x14:cfRule type="dataBar" id="{BEB7059F-4EC2-4043-B07D-E19F7C2423B9}">
            <x14:dataBar minLength="0" maxLength="100" gradient="0">
              <x14:cfvo type="num">
                <xm:f>0</xm:f>
              </x14:cfvo>
              <x14:cfvo type="num">
                <xm:f>1</xm:f>
              </x14:cfvo>
              <x14:negativeFillColor rgb="FFFF0000"/>
              <x14:axisColor rgb="FF000000"/>
            </x14:dataBar>
          </x14:cfRule>
          <xm:sqref>D48:D49</xm:sqref>
        </x14:conditionalFormatting>
        <x14:conditionalFormatting xmlns:xm="http://schemas.microsoft.com/office/excel/2006/main">
          <x14:cfRule type="dataBar" id="{BEC3AB7E-0641-4D2F-985B-9133A6AED8D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7F1BC557-00A9-4CA6-89A4-C81666F65CF2}">
            <x14:dataBar minLength="0" maxLength="100" gradient="0">
              <x14:cfvo type="num">
                <xm:f>0</xm:f>
              </x14:cfvo>
              <x14:cfvo type="num">
                <xm:f>1</xm:f>
              </x14:cfvo>
              <x14:negativeFillColor rgb="FFFF0000"/>
              <x14:axisColor rgb="FF000000"/>
            </x14:dataBar>
          </x14:cfRule>
          <xm:sqref>D84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7" customWidth="1"/>
    <col min="2" max="16384" width="9" style="48"/>
  </cols>
  <sheetData>
    <row r="1" spans="1:2" ht="46.5" customHeight="1" x14ac:dyDescent="0.3"/>
    <row r="2" spans="1:2" s="50" customFormat="1" ht="16.2" x14ac:dyDescent="0.3">
      <c r="A2" s="49" t="s">
        <v>22</v>
      </c>
      <c r="B2" s="49"/>
    </row>
    <row r="3" spans="1:2" s="53" customFormat="1" ht="27" customHeight="1" x14ac:dyDescent="0.3">
      <c r="A3" s="51" t="s">
        <v>23</v>
      </c>
      <c r="B3" s="52"/>
    </row>
    <row r="4" spans="1:2" s="55" customFormat="1" ht="27" x14ac:dyDescent="0.5">
      <c r="A4" s="54" t="s">
        <v>24</v>
      </c>
    </row>
    <row r="5" spans="1:2" ht="61.5" customHeight="1" x14ac:dyDescent="0.3">
      <c r="A5" s="56" t="s">
        <v>25</v>
      </c>
    </row>
    <row r="6" spans="1:2" ht="26.25" customHeight="1" x14ac:dyDescent="0.3">
      <c r="A6" s="54" t="s">
        <v>26</v>
      </c>
    </row>
    <row r="7" spans="1:2" s="47" customFormat="1" ht="198" customHeight="1" x14ac:dyDescent="0.3">
      <c r="A7" s="57" t="s">
        <v>36</v>
      </c>
    </row>
    <row r="8" spans="1:2" s="55" customFormat="1" ht="27" x14ac:dyDescent="0.5">
      <c r="A8" s="54" t="s">
        <v>27</v>
      </c>
    </row>
    <row r="9" spans="1:2" ht="45" x14ac:dyDescent="0.3">
      <c r="A9" s="56" t="s">
        <v>28</v>
      </c>
    </row>
    <row r="10" spans="1:2" s="47" customFormat="1" ht="27.9" customHeight="1" x14ac:dyDescent="0.3">
      <c r="A10" s="58" t="s">
        <v>29</v>
      </c>
    </row>
    <row r="11" spans="1:2" s="55" customFormat="1" ht="27" x14ac:dyDescent="0.5">
      <c r="A11" s="54" t="s">
        <v>30</v>
      </c>
    </row>
    <row r="12" spans="1:2" ht="30" x14ac:dyDescent="0.3">
      <c r="A12" s="56" t="s">
        <v>31</v>
      </c>
    </row>
    <row r="13" spans="1:2" s="47" customFormat="1" ht="27.9" customHeight="1" x14ac:dyDescent="0.3">
      <c r="A13" s="58" t="s">
        <v>32</v>
      </c>
    </row>
    <row r="14" spans="1:2" s="55" customFormat="1" ht="27" x14ac:dyDescent="0.5">
      <c r="A14" s="54" t="s">
        <v>33</v>
      </c>
    </row>
    <row r="15" spans="1:2" ht="64.5" customHeight="1" x14ac:dyDescent="0.3">
      <c r="A15" s="56" t="s">
        <v>34</v>
      </c>
    </row>
    <row r="16" spans="1:2" ht="45" x14ac:dyDescent="0.3">
      <c r="A16" s="56" t="s">
        <v>35</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2026-10-19T02:01:37Z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