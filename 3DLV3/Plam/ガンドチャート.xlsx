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codeName="ThisWorkbook"/>
  <xr:revisionPtr revIDLastSave="22" documentId="13_ncr:1_{767AA1FC-884A-4E0E-8A8D-949F00F0F879}" xr6:coauthVersionLast="47" xr6:coauthVersionMax="47" xr10:uidLastSave="{5ED096BD-5363-43A7-9E14-8F13D0977948}"/>
  <bookViews>
    <workbookView xWindow="-108" yWindow="-108" windowWidth="23256" windowHeight="12456" xr2:uid="{00000000-000D-0000-FFFF-FFFF00000000}"/>
  </bookViews>
  <sheets>
    <sheet name="プロジェクトのスケジュール" sheetId="11" r:id="rId1"/>
    <sheet name="詳細情報" sheetId="12" r:id="rId2"/>
  </sheets>
  <definedNames>
    <definedName name="_xlnm.Print_Titles" localSheetId="0">プロジェクトのスケジュール!$4:$6</definedName>
    <definedName name="タスク_開始" localSheetId="0">プロジェクトのスケジュール!$E1</definedName>
    <definedName name="タスク_終了" localSheetId="0">プロジェクトのスケジュール!$F1</definedName>
    <definedName name="タスク_進捗状況" localSheetId="0">プロジェクトのスケジュール!$D1</definedName>
    <definedName name="プロジェクトの開始">プロジェクトのスケジュール!$E$3</definedName>
    <definedName name="今日" localSheetId="0">TODAY()</definedName>
    <definedName name="週表示">プロジェクトのスケジュール!$E$4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80" i="11" l="1"/>
  <c r="E80" i="11"/>
  <c r="E9" i="11"/>
  <c r="H75" i="11"/>
  <c r="H81" i="11"/>
  <c r="H7" i="11"/>
  <c r="I5" i="11" l="1"/>
  <c r="H70" i="11"/>
  <c r="H15" i="11"/>
  <c r="H8" i="11"/>
  <c r="I6" i="11" l="1"/>
  <c r="J5" i="11" l="1"/>
  <c r="E10" i="11" l="1"/>
  <c r="F9" i="11"/>
  <c r="H9" i="11" s="1"/>
  <c r="K5" i="11"/>
  <c r="E12" i="11" l="1"/>
  <c r="E11" i="11"/>
  <c r="F11" i="11"/>
  <c r="F10" i="11"/>
  <c r="H10" i="11"/>
  <c r="L5" i="11"/>
  <c r="E14" i="11" l="1"/>
  <c r="E13" i="11"/>
  <c r="F14" i="11"/>
  <c r="F13" i="11"/>
  <c r="F12" i="11"/>
  <c r="M5" i="11"/>
  <c r="E16" i="11" l="1"/>
  <c r="F18" i="11"/>
  <c r="E18" i="11"/>
  <c r="F17" i="11"/>
  <c r="E17" i="11"/>
  <c r="F16" i="11"/>
  <c r="H14" i="11"/>
  <c r="N5" i="11"/>
  <c r="O5" i="11" l="1"/>
  <c r="P5" i="11" l="1"/>
  <c r="O6" i="11"/>
  <c r="N6" i="11"/>
  <c r="M6" i="11"/>
  <c r="L6" i="11"/>
  <c r="K6" i="11"/>
  <c r="J6" i="11"/>
  <c r="I4" i="11"/>
  <c r="E24" i="11" l="1"/>
  <c r="F22" i="11"/>
  <c r="E22" i="11"/>
  <c r="F21" i="11"/>
  <c r="E21" i="11"/>
  <c r="E20" i="11"/>
  <c r="F20" i="11"/>
  <c r="F19" i="11"/>
  <c r="E19" i="11"/>
  <c r="P6" i="11"/>
  <c r="H11" i="11"/>
  <c r="H12" i="11"/>
  <c r="P4" i="11"/>
  <c r="Q5" i="11"/>
  <c r="E23" i="11" l="1"/>
  <c r="F23" i="11"/>
  <c r="E27" i="11"/>
  <c r="F26" i="11"/>
  <c r="E26" i="11"/>
  <c r="F25" i="11"/>
  <c r="E25" i="11"/>
  <c r="F24" i="11"/>
  <c r="E28" i="11"/>
  <c r="F27" i="11"/>
  <c r="H16" i="11"/>
  <c r="H17" i="11"/>
  <c r="R5" i="11"/>
  <c r="F30" i="11" l="1"/>
  <c r="E30" i="11"/>
  <c r="F29" i="11"/>
  <c r="E29" i="11"/>
  <c r="F28" i="11"/>
  <c r="S5" i="11"/>
  <c r="T5" i="11" l="1"/>
  <c r="E31" i="11" l="1"/>
  <c r="U5" i="11"/>
  <c r="V5" i="11" l="1"/>
  <c r="W5" i="11" l="1"/>
  <c r="V6" i="11"/>
  <c r="U6" i="11"/>
  <c r="T6" i="11"/>
  <c r="S6" i="11"/>
  <c r="R6" i="11"/>
  <c r="Q6" i="11"/>
  <c r="E35" i="11" l="1"/>
  <c r="F34" i="11"/>
  <c r="E34" i="11"/>
  <c r="F31" i="11"/>
  <c r="E32" i="11" s="1"/>
  <c r="W6" i="11"/>
  <c r="H18" i="11"/>
  <c r="X5" i="11"/>
  <c r="W4" i="11"/>
  <c r="E39" i="11" l="1"/>
  <c r="E40" i="11"/>
  <c r="E38" i="11"/>
  <c r="F39" i="11"/>
  <c r="F38" i="11"/>
  <c r="F33" i="11"/>
  <c r="E33" i="11"/>
  <c r="F32" i="11"/>
  <c r="F37" i="11"/>
  <c r="F36" i="11"/>
  <c r="E36" i="11"/>
  <c r="F35" i="11"/>
  <c r="Y5" i="11"/>
  <c r="F40" i="11" l="1"/>
  <c r="E46" i="11"/>
  <c r="E42" i="11"/>
  <c r="F43" i="11"/>
  <c r="F42" i="11"/>
  <c r="F41" i="11"/>
  <c r="E41" i="11"/>
  <c r="E45" i="11"/>
  <c r="F46" i="11"/>
  <c r="F45" i="11"/>
  <c r="F44" i="11"/>
  <c r="E44" i="11"/>
  <c r="Z5" i="11"/>
  <c r="AA5" i="11" l="1"/>
  <c r="F49" i="11" l="1"/>
  <c r="E49" i="11"/>
  <c r="F47" i="11"/>
  <c r="E47" i="11"/>
  <c r="F51" i="11"/>
  <c r="E48" i="11"/>
  <c r="E53" i="11"/>
  <c r="E52" i="11"/>
  <c r="E51" i="11"/>
  <c r="E50" i="11"/>
  <c r="F48" i="11"/>
  <c r="F53" i="11"/>
  <c r="F52" i="11"/>
  <c r="F50" i="11"/>
  <c r="AB5" i="11"/>
  <c r="AC5" i="11" s="1"/>
  <c r="AD5" i="11" l="1"/>
  <c r="AC6" i="11"/>
  <c r="AB6" i="11"/>
  <c r="AA6" i="11"/>
  <c r="Z6" i="11"/>
  <c r="Y6" i="11"/>
  <c r="X6" i="11"/>
  <c r="E56" i="11" l="1"/>
  <c r="F54" i="11"/>
  <c r="E54" i="11"/>
  <c r="F55" i="11"/>
  <c r="E55" i="11"/>
  <c r="AD6" i="11"/>
  <c r="AE5" i="11"/>
  <c r="AF5" i="11" s="1"/>
  <c r="F59" i="11" l="1"/>
  <c r="F60" i="11"/>
  <c r="E60" i="11"/>
  <c r="E59" i="11"/>
  <c r="E58" i="11"/>
  <c r="F58" i="11"/>
  <c r="F57" i="11"/>
  <c r="E57" i="11"/>
  <c r="F56" i="11"/>
  <c r="AG5" i="11"/>
  <c r="AH5" i="11" l="1"/>
  <c r="F62" i="11" l="1"/>
  <c r="E62" i="11"/>
  <c r="E61" i="11"/>
  <c r="E63" i="11"/>
  <c r="F61" i="11"/>
  <c r="AI5" i="11"/>
  <c r="AJ5" i="11" l="1"/>
  <c r="AJ6" i="11" s="1"/>
  <c r="AI6" i="11"/>
  <c r="AH6" i="11"/>
  <c r="AG6" i="11"/>
  <c r="AF6" i="11"/>
  <c r="AE6" i="11"/>
  <c r="AD4" i="11"/>
  <c r="AK5" i="11" l="1"/>
  <c r="AL5" i="11" l="1"/>
  <c r="E37" i="11" l="1"/>
  <c r="AM5" i="11"/>
  <c r="E43" i="11" l="1"/>
  <c r="AN5" i="11"/>
  <c r="AO5" i="11" l="1"/>
  <c r="F63" i="11" l="1"/>
  <c r="F65" i="11"/>
  <c r="F66" i="11" s="1"/>
  <c r="F64" i="11"/>
  <c r="E64" i="11"/>
  <c r="E65" i="11" s="1"/>
  <c r="E66" i="11" s="1"/>
  <c r="AP5" i="11"/>
  <c r="AQ5" i="11" l="1"/>
  <c r="AP6" i="11"/>
  <c r="AO6" i="11"/>
  <c r="AN6" i="11"/>
  <c r="AM6" i="11"/>
  <c r="AL6" i="11"/>
  <c r="AK6" i="11"/>
  <c r="AQ6" i="11" l="1"/>
  <c r="AR5" i="11"/>
  <c r="AK4" i="11"/>
  <c r="F67" i="11" l="1"/>
  <c r="E68" i="11" s="1"/>
  <c r="E67" i="11"/>
  <c r="AS5" i="11"/>
  <c r="F68" i="11" s="1"/>
  <c r="AR6" i="11"/>
  <c r="AR4" i="11"/>
  <c r="E69" i="11" l="1"/>
  <c r="F69" i="11"/>
  <c r="AS6" i="11"/>
  <c r="AT5" i="11"/>
  <c r="AT6" i="11" l="1"/>
  <c r="F76" i="11"/>
  <c r="E76" i="11"/>
  <c r="E77" i="11" s="1"/>
  <c r="E71" i="11"/>
  <c r="F71" i="11"/>
  <c r="AU5" i="11"/>
  <c r="AU6" i="11" s="1"/>
  <c r="F72" i="11" l="1"/>
  <c r="F73" i="11" s="1"/>
  <c r="F74" i="11" s="1"/>
  <c r="E72" i="11"/>
  <c r="H71" i="11"/>
  <c r="AV5" i="11"/>
  <c r="AV6" i="11" l="1"/>
  <c r="F77" i="11"/>
  <c r="E78" i="11"/>
  <c r="F78" i="11"/>
  <c r="E73" i="11"/>
  <c r="H72" i="11"/>
  <c r="AW5" i="11"/>
  <c r="AW6" i="11" s="1"/>
  <c r="E74" i="11" l="1"/>
  <c r="H74" i="11" s="1"/>
  <c r="H73" i="11"/>
  <c r="F82" i="11"/>
  <c r="F83" i="11" s="1"/>
  <c r="E82" i="11"/>
  <c r="AX5" i="11"/>
  <c r="AY5" i="11" s="1"/>
  <c r="E84" i="11" s="1"/>
  <c r="E83" i="11" l="1"/>
  <c r="H83" i="11" s="1"/>
  <c r="H82" i="11"/>
  <c r="AX6" i="11"/>
  <c r="AY6" i="11"/>
  <c r="AZ5" i="11"/>
  <c r="AZ6" i="11" s="1"/>
  <c r="AY4" i="11"/>
  <c r="BA5" i="11" l="1"/>
  <c r="BA6" i="11" l="1"/>
  <c r="F84" i="11"/>
  <c r="BB5" i="11"/>
  <c r="BB6" i="11" s="1"/>
  <c r="H84" i="11" l="1"/>
  <c r="E85" i="11"/>
  <c r="BC5" i="11"/>
  <c r="BC6" i="11" l="1"/>
  <c r="F86" i="11"/>
  <c r="F85" i="11"/>
  <c r="E86" i="11" s="1"/>
  <c r="H86" i="11" s="1"/>
  <c r="H85" i="11"/>
  <c r="BD5" i="11"/>
  <c r="BD6" i="11" s="1"/>
  <c r="F87" i="11" l="1"/>
  <c r="E87" i="11"/>
  <c r="H87" i="11" s="1"/>
  <c r="BE5" i="11"/>
  <c r="BE6" i="11" s="1"/>
  <c r="BF5" i="11" l="1"/>
  <c r="BF6" i="11" l="1"/>
  <c r="E88" i="11"/>
  <c r="BF4" i="11"/>
  <c r="BG5" i="11"/>
  <c r="BG6" i="11" s="1"/>
  <c r="BH5" i="11" l="1"/>
  <c r="BH6" i="11" s="1"/>
  <c r="BI5" i="11" l="1"/>
  <c r="BI6" i="11" s="1"/>
  <c r="BJ5" i="11" l="1"/>
  <c r="BJ6" i="11" l="1"/>
  <c r="F88" i="11"/>
  <c r="BK5" i="11"/>
  <c r="BK6" i="11" s="1"/>
  <c r="E89" i="11" l="1"/>
  <c r="E79" i="11" s="1"/>
  <c r="F79" i="11" s="1"/>
  <c r="F89" i="11"/>
  <c r="H88" i="11"/>
  <c r="BL5" i="11"/>
  <c r="BM5" i="11" s="1"/>
  <c r="BM6" i="11" l="1"/>
  <c r="BN5" i="11"/>
  <c r="BM4" i="11"/>
  <c r="H89" i="11"/>
  <c r="BL6" i="11"/>
  <c r="BO5" i="11" l="1"/>
  <c r="BN6" i="11"/>
  <c r="BO6" i="11" l="1"/>
  <c r="BP5" i="11"/>
  <c r="BQ5" i="11" l="1"/>
  <c r="BP6" i="11"/>
  <c r="BQ6" i="11" l="1"/>
  <c r="BR5" i="11"/>
  <c r="BS5" i="11" l="1"/>
  <c r="BR6" i="11"/>
  <c r="BS6" i="11" l="1"/>
  <c r="BT5" i="11"/>
  <c r="BT6" i="11" l="1"/>
  <c r="BU5" i="11"/>
  <c r="BU6" i="11" l="1"/>
  <c r="BV5" i="11"/>
  <c r="BV6" i="11" l="1"/>
  <c r="BW5" i="11"/>
  <c r="BX5" i="11" l="1"/>
  <c r="BW6" i="11"/>
  <c r="BY5" i="11" l="1"/>
  <c r="BX6" i="11"/>
  <c r="BZ5" i="11" l="1"/>
  <c r="BY6" i="11"/>
  <c r="BY4" i="11"/>
  <c r="BZ6" i="11" l="1"/>
  <c r="CA5" i="11"/>
  <c r="CB5" i="11" l="1"/>
  <c r="CA6" i="11"/>
  <c r="CC5" i="11" l="1"/>
  <c r="CB6" i="11"/>
  <c r="CD5" i="11" l="1"/>
  <c r="CC6" i="11"/>
  <c r="CE5" i="11" l="1"/>
  <c r="CD6" i="11"/>
  <c r="CE6" i="11" l="1"/>
  <c r="CF5" i="11"/>
  <c r="CF6" i="11" l="1"/>
  <c r="CG5" i="11"/>
  <c r="CG6" i="11" l="1"/>
  <c r="CH5" i="11"/>
  <c r="CH6" i="11" l="1"/>
  <c r="CI5" i="11"/>
  <c r="CI6" i="11" l="1"/>
  <c r="CJ5" i="11"/>
  <c r="CJ6" i="11" l="1"/>
  <c r="CK5" i="11"/>
  <c r="CK6" i="11" s="1"/>
</calcChain>
</file>

<file path=xl/sharedStrings.xml><?xml version="1.0" encoding="utf-8"?>
<sst xmlns="http://schemas.openxmlformats.org/spreadsheetml/2006/main" count="124" uniqueCount="111">
  <si>
    <t>このワークシートでプロジェクトのスケジュール​​を作成します。
セル B1 には、このプロジェクトのタイトルを入力します。
このワークシートの使用方法に関する情報 (スクリーン リーダーの説明やブックの作成者など) は、"詳細情報" ワークシートに入ります。
列 A を下方に移動し続けると、さらに多くの情報を確認できます。</t>
  </si>
  <si>
    <t>セル B2 には会社の名前を入力します。</t>
  </si>
  <si>
    <t>セル B3 に、プロジェクト主任の名前を入力します。セル E3 には、プロジェクトの開始日を入力します。プロジェクトの開始: ラベルはセル C3 にあります。</t>
  </si>
  <si>
    <t>セル E4 の週表示は、セル I4 のプロジェクトのスケジュールに表示する開始週を表します。プロジェクトの開始日は、第 1 週と見なされます。週表示を変更するには、セル E4 に新しい週番号を入力します。
セル E4 の週表示から始まる各週の開始日は、セル I4 から始まり、自動計算されます。このビューには、セル I4 からセル BF4 までの 8 週間が表示されます。
これらのセルは変更しないでください。
週表示: ラベルはセル C4 にあります。</t>
  </si>
  <si>
    <t>セル I5 から BL5 には、各日付のセルの上にあるセル ブロック内に表示される週の日付の数字が含まれており、自動的に計算が行われます。
これらのセルは変更しないでください。
今日の日付は、行 5 の今日の日付からプロジェクト スケジュールの最後まで日付列全体が赤 (16 進値 #AD3815) で囲まれます。</t>
  </si>
  <si>
    <t>この行には、その下に続くプロジェクトのスケジュールの見出しが含まれます。
コンテンツを読み上げるには、B6 から BL 6 に移動します。その見出しの上にある日付の各曜日の最初の文字が、セル I6 から始まってセル BL6 まで続きます。
すべてのプロジェクトのタイムライン グラフは、条件付き書式を使用して、入力された開始日と終了日に基づいて自動生成されます。
セル I7 から始まる列 I 以降の列のセルの内容を変更しないでください。</t>
  </si>
  <si>
    <t xml:space="preserve">この行は削除しないでください。この行は、プロジェクトのスケジュール内にある現在の日付を強調表示するために使用されている数式を保持するために非表示になっています。 </t>
  </si>
  <si>
    <t>セル B8 には、フェーズ 1 のサンプルのタイトルが含まれます。
セル B8 に新しいタイトルを入力します。
プロジェクトに該当する場合は、セル C8 にフェーズを割り当てる名前を入力します。
プロジェクトに該当する場合は、セル D8 にフェーズ全体の進捗状況を入力します。
プロジェクトに該当する場合は、フェーズ全体の開始日と終了日をセル E8 と F8 に入力します。
ガント チャートは自動的に適切な日付を入力し、入力した進捗状況に応じて網かけを設定します。
フェーズを削除してタスクからのみ作業をするには、この行を削除するだけです。</t>
  </si>
  <si>
    <t xml:space="preserve">セル B9 には、サンプル タスク "タスク 1" が含まれます。
セル B9 に、新しいタスク名を入力します。
セル C9 にタスクを割り当てるユーザーを入力します。
セル D9 のタスクの進捗状況を入力します。進行状況バーは、セル内に表示され、セルの数に従って網かけを適用します。たとえば、50% の進捗状況はセルの半分に網かけを設定します。
セル E9 にタスクの開始日を入力します。
セル F9 にタスクの終了日を入力します。
入力した日付の網かけのステータス バーは、セル I9 から始まる BL9 までのブロックに表示されます。 </t>
  </si>
  <si>
    <t>行 10 から 13 は、行 9 のパターンを繰り返します。
このワークシート内のすべてのタスク行に対し、セル A9 の手順を繰り返します。サンプル データはすべて上書きします。
別のフェーズのサンプルは、セル A14 から始まります。
セル A10 から A13 までにタスクの入力を続けるか、セル A14 に移動して詳細を確認します。</t>
  </si>
  <si>
    <t>右のセルには、フェーズ 2 のサンプルのタイトルが含まれます。
B 列に、いつでも新しいフェーズを作成できます。このプロジェクトのスケジュールには、フェーズは不要です。フェーズを削除するには、行を削除するだけです。
この行に新しいフェーズ ブロックを作成するには、右のセルに新しいタイトルを入力します。
上記のフェーズにタスクの追加を続けるには、この行の 1 つ上に新しい行を入力し、セル A9 の説明のようにタスク データを入力します。
セル A8 の説明に基づいて右側のセルのフェーズの詳細情報を更新します。
詳細については、A 列のセルを下に移動します。
このワークシートに新しい行を追加していない場合は、セル B20 と B26 に 2 つの追加のサンプル フェーズ ブロックが作成され表示されます。それ以外の場合、A 列のセルを移動して追加のブロックを探します。
必要に応じて、セル A8 と A9 の手順を繰り返します。</t>
  </si>
  <si>
    <t>サンプル フェーズ タイトル ブロック</t>
  </si>
  <si>
    <t>プロジェクト タイトル</t>
  </si>
  <si>
    <t>会社名</t>
  </si>
  <si>
    <t>プロジェクト主任</t>
  </si>
  <si>
    <t>タスク</t>
  </si>
  <si>
    <t>プロジェクトの開始:</t>
  </si>
  <si>
    <t>週表示:</t>
  </si>
  <si>
    <t>進捗状況</t>
  </si>
  <si>
    <t>開始</t>
  </si>
  <si>
    <t>終了</t>
  </si>
  <si>
    <t>日数</t>
  </si>
  <si>
    <t>シンプル ガント チャート (Vertex42.com)</t>
  </si>
  <si>
    <t>https://www.vertex42.com/ExcelTemplates/simple-gantt-chart.html</t>
  </si>
  <si>
    <t>このテンプレートについて</t>
  </si>
  <si>
    <t>このテンプレートを使用すると、プロジェクトの視覚化と管理に役立つガント チャートを簡単な方法で作成できます。タスクと開始日、終了日を入力するだけです。数式の入力は必要はありません。ガント チャートのバーは、タスクの期間を表し、条件付き書式を使用して表示されます。新しいタスクを挿入するには、新しい行を挿入します。</t>
  </si>
  <si>
    <t>スクリーン リーダーのガイド</t>
  </si>
  <si>
    <t>その他のヘルプ</t>
  </si>
  <si>
    <t>以下のリンクから Vertex42.com にアクセスし、このテンプレートの使用方法を詳しく学びます。たとえば、日数と稼働日の計算、タスクの依存関係を作成する、バーの色の変更、週表示を簡単に変更するためのスクロール バーを追加する方法、グラフに表示される日付範囲の拡大方法など。</t>
  </si>
  <si>
    <t>シンプル ガント チャートの使用方法</t>
  </si>
  <si>
    <t>その他のプロジェクト管理テンプレート</t>
  </si>
  <si>
    <t>Vertex42.com にアクセスして、さまざまな種類のプロジェクト スケジュール、ガント チャート、タスク リストなどのその他のプロジェクト管理テンプレートをダウンロードしてください。</t>
  </si>
  <si>
    <t>プロジェクト管理テンプレート</t>
  </si>
  <si>
    <t>Vertex42 について</t>
  </si>
  <si>
    <t>Vertex42.com では、企業、家庭、教育用に 300 を超える本格的なデザインのスプレッドシート テンプレートを提供しています。この大部分は無料でダウンロードすることができます。Vertex42.com のコレクションには、各種のカレンダー、プランナー、スケジュールに加えて、予算作成、債務削減、ローン返済用の個人の財務に関するスプレッドシートも含まれています。</t>
  </si>
  <si>
    <t>企業向けには、請求書、タイム シート、在庫管理、財務諸表、プロジェクト計画策定テンプレートがあります。学生と教師向けには、授業計画表、成績表、出席簿などのリソースがあります。献立表、チェックリスト、運動記録を使用して家族の生活を整理しましょう。各テンプレートは、数千のユーザーからのフィードバックを基に時間をかけて十分に研究、調整、改良されたものです。</t>
  </si>
  <si>
    <t>このブックには 2 つのワークシートがあります。
タイムシート
詳細情報
各ワークシートの説明は、各ワークシートの A 列のセル A1 から始まります。非表示のテキストで書き込まれます。各手順では、その行に含まれる情報について説明しています。明示的な指示がない限り、後続の各手順はセル A2、セル A3 といった順に格納されています。たとえば、説明テキストに、次の手順について "セル A6 に続く" と記載されている場合があります。
この非表示のテキストは印刷されません。
ワークシートからこれらの説明を削除する場合は、A 列を削除するだけです。</t>
  </si>
  <si>
    <t>ゲームの設計</t>
    <rPh sb="4" eb="6">
      <t>セッケイ</t>
    </rPh>
    <phoneticPr fontId="26"/>
  </si>
  <si>
    <t>プログラミング</t>
    <phoneticPr fontId="26"/>
  </si>
  <si>
    <t>ホーム画面</t>
    <rPh sb="3" eb="5">
      <t>ガメン</t>
    </rPh>
    <phoneticPr fontId="26"/>
  </si>
  <si>
    <t>ホーム画面BGM</t>
    <rPh sb="3" eb="5">
      <t>ガメン</t>
    </rPh>
    <phoneticPr fontId="26"/>
  </si>
  <si>
    <t>ステージ制作</t>
    <rPh sb="4" eb="6">
      <t>セイサク</t>
    </rPh>
    <phoneticPr fontId="26"/>
  </si>
  <si>
    <t>ステージ</t>
    <phoneticPr fontId="26"/>
  </si>
  <si>
    <t>BGM</t>
    <phoneticPr fontId="26"/>
  </si>
  <si>
    <t>ステージBGM</t>
    <phoneticPr fontId="26"/>
  </si>
  <si>
    <t>UI/その他</t>
    <rPh sb="5" eb="6">
      <t>タ</t>
    </rPh>
    <phoneticPr fontId="26"/>
  </si>
  <si>
    <t>グラフィック</t>
    <phoneticPr fontId="26"/>
  </si>
  <si>
    <t>タイトル</t>
    <phoneticPr fontId="26"/>
  </si>
  <si>
    <t>必要時間</t>
    <rPh sb="0" eb="2">
      <t>ヒツヨウ</t>
    </rPh>
    <rPh sb="2" eb="4">
      <t>ジカン</t>
    </rPh>
    <phoneticPr fontId="26"/>
  </si>
  <si>
    <t>お題</t>
    <rPh sb="1" eb="2">
      <t>ダイ</t>
    </rPh>
    <phoneticPr fontId="26"/>
  </si>
  <si>
    <t>ステージ数決め</t>
    <rPh sb="4" eb="5">
      <t>スウ</t>
    </rPh>
    <rPh sb="5" eb="6">
      <t>キ</t>
    </rPh>
    <phoneticPr fontId="26"/>
  </si>
  <si>
    <t>お題決め</t>
    <rPh sb="1" eb="2">
      <t>ダイ</t>
    </rPh>
    <rPh sb="2" eb="3">
      <t>キ</t>
    </rPh>
    <phoneticPr fontId="26"/>
  </si>
  <si>
    <t>お題の点を制作</t>
    <rPh sb="1" eb="2">
      <t>ダイ</t>
    </rPh>
    <rPh sb="3" eb="4">
      <t>テン</t>
    </rPh>
    <rPh sb="5" eb="7">
      <t>セイサク</t>
    </rPh>
    <phoneticPr fontId="26"/>
  </si>
  <si>
    <t>時間設定</t>
    <rPh sb="0" eb="2">
      <t>ジカン</t>
    </rPh>
    <rPh sb="2" eb="4">
      <t>セッテイ</t>
    </rPh>
    <phoneticPr fontId="26"/>
  </si>
  <si>
    <t>ステージ１の作成</t>
    <rPh sb="6" eb="8">
      <t>サクセイ</t>
    </rPh>
    <phoneticPr fontId="26"/>
  </si>
  <si>
    <t>ステージ１のお題作成</t>
    <rPh sb="7" eb="8">
      <t>ダイ</t>
    </rPh>
    <rPh sb="8" eb="10">
      <t>サクセイ</t>
    </rPh>
    <phoneticPr fontId="26"/>
  </si>
  <si>
    <t>雨粒の配置</t>
    <rPh sb="0" eb="2">
      <t>アマツブ</t>
    </rPh>
    <rPh sb="3" eb="5">
      <t>ハイチ</t>
    </rPh>
    <phoneticPr fontId="26"/>
  </si>
  <si>
    <t>雨粒の作成</t>
    <rPh sb="0" eb="2">
      <t>アマツブ</t>
    </rPh>
    <rPh sb="3" eb="5">
      <t>サクセイ</t>
    </rPh>
    <phoneticPr fontId="26"/>
  </si>
  <si>
    <t>ステージ１のお題の配置</t>
    <rPh sb="7" eb="8">
      <t>ダイ</t>
    </rPh>
    <rPh sb="9" eb="11">
      <t>ハイチ</t>
    </rPh>
    <phoneticPr fontId="26"/>
  </si>
  <si>
    <t>タイマーの作成</t>
    <rPh sb="5" eb="7">
      <t>サクセイ</t>
    </rPh>
    <phoneticPr fontId="26"/>
  </si>
  <si>
    <t>タイマーの配置</t>
    <rPh sb="5" eb="7">
      <t>ハイチ</t>
    </rPh>
    <phoneticPr fontId="26"/>
  </si>
  <si>
    <t>キーボード操作を入れる</t>
    <rPh sb="5" eb="7">
      <t>ソウサ</t>
    </rPh>
    <rPh sb="8" eb="9">
      <t>イ</t>
    </rPh>
    <phoneticPr fontId="26"/>
  </si>
  <si>
    <t>マウス操作を入れる</t>
    <rPh sb="3" eb="5">
      <t>ソウサ</t>
    </rPh>
    <rPh sb="6" eb="7">
      <t>イ</t>
    </rPh>
    <phoneticPr fontId="26"/>
  </si>
  <si>
    <t>つないで線を出す処理</t>
    <rPh sb="4" eb="5">
      <t>セン</t>
    </rPh>
    <rPh sb="6" eb="7">
      <t>ダ</t>
    </rPh>
    <rPh sb="8" eb="10">
      <t>ショリ</t>
    </rPh>
    <phoneticPr fontId="26"/>
  </si>
  <si>
    <t>クリア判定</t>
    <rPh sb="3" eb="5">
      <t>ハンテイ</t>
    </rPh>
    <phoneticPr fontId="26"/>
  </si>
  <si>
    <t>クリア次のステージ２に移行</t>
    <rPh sb="3" eb="4">
      <t>ツギ</t>
    </rPh>
    <rPh sb="11" eb="13">
      <t>イコウ</t>
    </rPh>
    <phoneticPr fontId="26"/>
  </si>
  <si>
    <t>ステージ２のお題制作</t>
    <rPh sb="7" eb="10">
      <t>ダイセイサク</t>
    </rPh>
    <phoneticPr fontId="26"/>
  </si>
  <si>
    <t>つなぐ処理</t>
    <rPh sb="3" eb="5">
      <t>ショリ</t>
    </rPh>
    <phoneticPr fontId="26"/>
  </si>
  <si>
    <t>お題２の配置</t>
    <rPh sb="1" eb="2">
      <t>ダイ</t>
    </rPh>
    <rPh sb="4" eb="6">
      <t>ハイチ</t>
    </rPh>
    <phoneticPr fontId="26"/>
  </si>
  <si>
    <t>ステージ３への移行</t>
    <rPh sb="7" eb="9">
      <t>イコウ</t>
    </rPh>
    <phoneticPr fontId="26"/>
  </si>
  <si>
    <t>お題３の製作</t>
    <rPh sb="1" eb="2">
      <t>ダイ</t>
    </rPh>
    <rPh sb="4" eb="6">
      <t>セイサク</t>
    </rPh>
    <phoneticPr fontId="26"/>
  </si>
  <si>
    <t>お題３の配置</t>
    <rPh sb="1" eb="2">
      <t>ダイ</t>
    </rPh>
    <rPh sb="4" eb="6">
      <t>ハイチ</t>
    </rPh>
    <phoneticPr fontId="26"/>
  </si>
  <si>
    <t>ステージ４に移行</t>
    <rPh sb="6" eb="8">
      <t>イコウ</t>
    </rPh>
    <phoneticPr fontId="26"/>
  </si>
  <si>
    <t>お題４の製作</t>
    <rPh sb="1" eb="2">
      <t>ダイ</t>
    </rPh>
    <rPh sb="4" eb="6">
      <t>セイサク</t>
    </rPh>
    <phoneticPr fontId="26"/>
  </si>
  <si>
    <t>お題４の配置</t>
    <rPh sb="1" eb="2">
      <t>ダイ</t>
    </rPh>
    <rPh sb="4" eb="6">
      <t>ハイチ</t>
    </rPh>
    <phoneticPr fontId="26"/>
  </si>
  <si>
    <t>ステージ５に移行</t>
    <rPh sb="6" eb="8">
      <t>イコウ</t>
    </rPh>
    <phoneticPr fontId="26"/>
  </si>
  <si>
    <t>お題５の製作</t>
    <rPh sb="1" eb="2">
      <t>ダイ</t>
    </rPh>
    <rPh sb="4" eb="6">
      <t>セイサク</t>
    </rPh>
    <phoneticPr fontId="26"/>
  </si>
  <si>
    <t>お題５の配置</t>
    <rPh sb="1" eb="2">
      <t>ダイ</t>
    </rPh>
    <rPh sb="4" eb="6">
      <t>ハイチ</t>
    </rPh>
    <phoneticPr fontId="26"/>
  </si>
  <si>
    <t>エンディングに移行</t>
    <rPh sb="7" eb="9">
      <t>イコウ</t>
    </rPh>
    <phoneticPr fontId="26"/>
  </si>
  <si>
    <t>エンディングBGM</t>
    <phoneticPr fontId="26"/>
  </si>
  <si>
    <t>エンディングからタイトルへの移行</t>
    <rPh sb="14" eb="16">
      <t>イコウ</t>
    </rPh>
    <phoneticPr fontId="26"/>
  </si>
  <si>
    <t>プレイヤー（視点）を入れる</t>
    <rPh sb="6" eb="8">
      <t>シテン</t>
    </rPh>
    <rPh sb="10" eb="11">
      <t>イ</t>
    </rPh>
    <phoneticPr fontId="26"/>
  </si>
  <si>
    <t>プレイヤーの指を入れる</t>
    <rPh sb="6" eb="7">
      <t>ユビ</t>
    </rPh>
    <rPh sb="8" eb="9">
      <t>イ</t>
    </rPh>
    <phoneticPr fontId="26"/>
  </si>
  <si>
    <t>雨粒</t>
    <rPh sb="0" eb="2">
      <t>アマツブ</t>
    </rPh>
    <phoneticPr fontId="26"/>
  </si>
  <si>
    <t>タイトルの追加</t>
    <rPh sb="5" eb="7">
      <t>ツイカ</t>
    </rPh>
    <phoneticPr fontId="26"/>
  </si>
  <si>
    <t>タイトルからステージに移行</t>
    <rPh sb="11" eb="13">
      <t>イコウ</t>
    </rPh>
    <phoneticPr fontId="26"/>
  </si>
  <si>
    <t>タイトルにステージボタンの追加</t>
    <rPh sb="13" eb="15">
      <t>ツイカ</t>
    </rPh>
    <phoneticPr fontId="26"/>
  </si>
  <si>
    <t>エンディング</t>
    <phoneticPr fontId="26"/>
  </si>
  <si>
    <t>主人公（指）</t>
    <rPh sb="0" eb="3">
      <t>シュジンコウ</t>
    </rPh>
    <rPh sb="4" eb="5">
      <t>ユビ</t>
    </rPh>
    <phoneticPr fontId="26"/>
  </si>
  <si>
    <t>線</t>
    <rPh sb="0" eb="1">
      <t>セン</t>
    </rPh>
    <phoneticPr fontId="26"/>
  </si>
  <si>
    <t>リトライ判定</t>
    <phoneticPr fontId="26"/>
  </si>
  <si>
    <t>お題２のクリア判定</t>
    <rPh sb="1" eb="2">
      <t>ダイ</t>
    </rPh>
    <rPh sb="7" eb="9">
      <t>ハンテイ</t>
    </rPh>
    <phoneticPr fontId="26"/>
  </si>
  <si>
    <t>お題２のリトライ判定</t>
    <rPh sb="1" eb="2">
      <t>ダイ</t>
    </rPh>
    <rPh sb="8" eb="10">
      <t>ハンテイ</t>
    </rPh>
    <phoneticPr fontId="26"/>
  </si>
  <si>
    <t>お題３のクリア判定</t>
    <rPh sb="1" eb="2">
      <t>ダイ</t>
    </rPh>
    <rPh sb="7" eb="9">
      <t>ハンテイ</t>
    </rPh>
    <phoneticPr fontId="26"/>
  </si>
  <si>
    <t>お題３のリトライ判定</t>
    <rPh sb="1" eb="2">
      <t>ダイ</t>
    </rPh>
    <rPh sb="8" eb="10">
      <t>ハンテイ</t>
    </rPh>
    <phoneticPr fontId="26"/>
  </si>
  <si>
    <t>リトライ処理</t>
    <rPh sb="4" eb="6">
      <t>ショリ</t>
    </rPh>
    <phoneticPr fontId="26"/>
  </si>
  <si>
    <t>リザルト</t>
    <phoneticPr fontId="26"/>
  </si>
  <si>
    <t>お題４のクリア判定</t>
    <rPh sb="1" eb="2">
      <t>ダイ</t>
    </rPh>
    <rPh sb="7" eb="9">
      <t>ハンテイ</t>
    </rPh>
    <phoneticPr fontId="26"/>
  </si>
  <si>
    <t>お題４のリトライ判定</t>
    <rPh sb="1" eb="2">
      <t>ダイ</t>
    </rPh>
    <rPh sb="8" eb="10">
      <t>ハンテイ</t>
    </rPh>
    <phoneticPr fontId="26"/>
  </si>
  <si>
    <t>お題５のクリア判定</t>
    <rPh sb="1" eb="2">
      <t>ダイ</t>
    </rPh>
    <rPh sb="7" eb="9">
      <t>ハンテイ</t>
    </rPh>
    <phoneticPr fontId="26"/>
  </si>
  <si>
    <t>お題５のリトライ判定</t>
    <rPh sb="1" eb="2">
      <t>ダイ</t>
    </rPh>
    <rPh sb="8" eb="10">
      <t>ハンテイ</t>
    </rPh>
    <phoneticPr fontId="26"/>
  </si>
  <si>
    <t>タイトルから操作説明に移行ボタン</t>
    <rPh sb="6" eb="8">
      <t>ソウサ</t>
    </rPh>
    <rPh sb="8" eb="10">
      <t>セツメイ</t>
    </rPh>
    <rPh sb="11" eb="13">
      <t>イコウ</t>
    </rPh>
    <phoneticPr fontId="26"/>
  </si>
  <si>
    <t>操作説明追加</t>
    <rPh sb="0" eb="2">
      <t>ソウサ</t>
    </rPh>
    <rPh sb="2" eb="4">
      <t>セツメイ</t>
    </rPh>
    <rPh sb="4" eb="6">
      <t>ツイカ</t>
    </rPh>
    <phoneticPr fontId="26"/>
  </si>
  <si>
    <t>エンディング制作</t>
    <rPh sb="6" eb="8">
      <t>セイサク</t>
    </rPh>
    <phoneticPr fontId="26"/>
  </si>
  <si>
    <t>リザルトBGM</t>
    <phoneticPr fontId="26"/>
  </si>
  <si>
    <t>操作説明</t>
    <rPh sb="0" eb="2">
      <t>ソウサ</t>
    </rPh>
    <rPh sb="2" eb="4">
      <t>セツメイ</t>
    </rPh>
    <phoneticPr fontId="26"/>
  </si>
  <si>
    <t>りおｔ</t>
    <phoneticPr fontId="26"/>
  </si>
  <si>
    <t>雨粒の追加処理</t>
    <rPh sb="0" eb="2">
      <t>アマツブ</t>
    </rPh>
    <rPh sb="3" eb="5">
      <t>ツイカ</t>
    </rPh>
    <rPh sb="5" eb="7">
      <t>ショリ</t>
    </rPh>
    <phoneticPr fontId="26"/>
  </si>
  <si>
    <t>制限時間の処理</t>
    <rPh sb="0" eb="4">
      <t>セイゲンジカン</t>
    </rPh>
    <rPh sb="5" eb="7">
      <t>ショリ</t>
    </rPh>
    <phoneticPr fontId="26"/>
  </si>
  <si>
    <t>操作テスト</t>
    <rPh sb="0" eb="2">
      <t>ソウサ</t>
    </rPh>
    <phoneticPr fontId="26"/>
  </si>
  <si>
    <t>改善</t>
    <rPh sb="0" eb="2">
      <t>カイゼン</t>
    </rPh>
    <phoneticPr fontId="2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</si>
</sst>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2" formatCode="_ &quot;¥&quot;* #,##0_ ;_ &quot;¥&quot;* \-#,##0_ ;_ &quot;¥&quot;* &quot;-&quot;_ ;_ @_ "/>
    <numFmt numFmtId="44" formatCode="_ &quot;¥&quot;* #,##0.00_ ;_ &quot;¥&quot;* \-#,##0.00_ ;_ &quot;¥&quot;* &quot;-&quot;??_ ;_ @_ "/>
    <numFmt numFmtId="176" formatCode="_(* #,##0_);_(* \(#,##0\);_(* &quot;-&quot;_);_(@_)"/>
    <numFmt numFmtId="177" formatCode="_(* #,##0.00_);_(* \(#,##0.00\);_(* &quot;-&quot;??_);_(@_)"/>
    <numFmt numFmtId="178" formatCode="m/d/yy;@"/>
    <numFmt numFmtId="179" formatCode="aaa\,\ yyyy/m/d"/>
    <numFmt numFmtId="180" formatCode="d"/>
  </numFmts>
  <fonts count="38" x14ac:knownFonts="1">
    <font>
      <sz val="11"/>
      <color theme="1"/>
      <name val="Meiryo UI"/>
      <family val="2"/>
    </font>
    <font>
      <sz val="11"/>
      <color theme="1"/>
      <name val="Meiryo UI"/>
      <family val="2"/>
    </font>
    <font>
      <sz val="11"/>
      <color theme="0"/>
      <name val="Meiryo UI"/>
      <family val="2"/>
    </font>
    <font>
      <sz val="11"/>
      <color rgb="FF9C0006"/>
      <name val="Meiryo UI"/>
      <family val="2"/>
    </font>
    <font>
      <b/>
      <sz val="11"/>
      <color rgb="FFFA7D00"/>
      <name val="Meiryo UI"/>
      <family val="2"/>
    </font>
    <font>
      <b/>
      <sz val="11"/>
      <color theme="0"/>
      <name val="Meiryo UI"/>
      <family val="2"/>
    </font>
    <font>
      <i/>
      <sz val="11"/>
      <color rgb="FF7F7F7F"/>
      <name val="Meiryo UI"/>
      <family val="2"/>
    </font>
    <font>
      <u/>
      <sz val="11"/>
      <color theme="11"/>
      <name val="Meiryo UI"/>
      <family val="2"/>
    </font>
    <font>
      <sz val="11"/>
      <color rgb="FF006100"/>
      <name val="Meiryo UI"/>
      <family val="2"/>
    </font>
    <font>
      <sz val="14"/>
      <color theme="1"/>
      <name val="Meiryo UI"/>
      <family val="2"/>
    </font>
    <font>
      <b/>
      <sz val="11"/>
      <color theme="3"/>
      <name val="Meiryo UI"/>
      <family val="2"/>
    </font>
    <font>
      <u/>
      <sz val="11"/>
      <color indexed="12"/>
      <name val="Meiryo UI"/>
      <family val="2"/>
    </font>
    <font>
      <sz val="11"/>
      <color rgb="FF3F3F76"/>
      <name val="Meiryo UI"/>
      <family val="2"/>
    </font>
    <font>
      <sz val="11"/>
      <color rgb="FFFA7D00"/>
      <name val="Meiryo UI"/>
      <family val="2"/>
    </font>
    <font>
      <sz val="11"/>
      <color rgb="FF9C5700"/>
      <name val="Meiryo UI"/>
      <family val="2"/>
    </font>
    <font>
      <b/>
      <sz val="11"/>
      <color rgb="FF3F3F3F"/>
      <name val="Meiryo UI"/>
      <family val="2"/>
    </font>
    <font>
      <b/>
      <sz val="22"/>
      <color theme="1" tint="0.34998626667073579"/>
      <name val="Meiryo UI"/>
      <family val="2"/>
    </font>
    <font>
      <b/>
      <sz val="11"/>
      <color theme="1"/>
      <name val="Meiryo UI"/>
      <family val="2"/>
    </font>
    <font>
      <sz val="11"/>
      <color rgb="FFFF0000"/>
      <name val="Meiryo UI"/>
      <family val="2"/>
    </font>
    <font>
      <b/>
      <sz val="20"/>
      <color theme="4" tint="-0.249977111117893"/>
      <name val="Meiryo UI"/>
      <family val="2"/>
    </font>
    <font>
      <sz val="10"/>
      <name val="Meiryo UI"/>
      <family val="2"/>
    </font>
    <font>
      <b/>
      <sz val="11"/>
      <name val="Meiryo UI"/>
      <family val="2"/>
    </font>
    <font>
      <sz val="9"/>
      <name val="Meiryo UI"/>
      <family val="2"/>
    </font>
    <font>
      <b/>
      <sz val="9"/>
      <color theme="0"/>
      <name val="Meiryo UI"/>
      <family val="2"/>
    </font>
    <font>
      <sz val="8"/>
      <color theme="0"/>
      <name val="Meiryo UI"/>
      <family val="2"/>
    </font>
    <font>
      <sz val="11"/>
      <name val="Meiryo UI"/>
      <family val="2"/>
    </font>
    <font>
      <sz val="6"/>
      <name val="ＭＳ Ｐゴシック"/>
      <family val="3"/>
      <charset val="128"/>
    </font>
    <font>
      <sz val="10"/>
      <name val="Meiryo UI"/>
      <family val="3"/>
      <charset val="128"/>
    </font>
    <font>
      <b/>
      <sz val="12"/>
      <color theme="1" tint="0.34998626667073579"/>
      <name val="Meiryo UI"/>
      <family val="3"/>
      <charset val="128"/>
    </font>
    <font>
      <b/>
      <sz val="10"/>
      <name val="Meiryo UI"/>
      <family val="3"/>
      <charset val="128"/>
    </font>
    <font>
      <sz val="11"/>
      <name val="Meiryo UI"/>
      <family val="3"/>
      <charset val="128"/>
    </font>
    <font>
      <sz val="11"/>
      <color theme="1" tint="0.499984740745262"/>
      <name val="Meiryo UI"/>
      <family val="3"/>
      <charset val="128"/>
    </font>
    <font>
      <b/>
      <sz val="16"/>
      <color theme="4" tint="-0.249977111117893"/>
      <name val="Meiryo UI"/>
      <family val="3"/>
      <charset val="128"/>
    </font>
    <font>
      <sz val="20"/>
      <name val="Meiryo UI"/>
      <family val="3"/>
      <charset val="128"/>
    </font>
    <font>
      <sz val="11"/>
      <color rgb="FF1D2129"/>
      <name val="Meiryo UI"/>
      <family val="3"/>
      <charset val="128"/>
    </font>
    <font>
      <sz val="11"/>
      <color theme="1"/>
      <name val="Meiryo UI"/>
      <family val="3"/>
      <charset val="128"/>
    </font>
    <font>
      <u/>
      <sz val="11"/>
      <color indexed="12"/>
      <name val="Meiryo UI"/>
      <family val="3"/>
      <charset val="128"/>
    </font>
    <font>
      <b/>
      <sz val="16"/>
      <color theme="1"/>
      <name val="HGS創英角ﾎﾟｯﾌﾟ体"/>
      <family val="3"/>
      <charset val="128"/>
    </font>
  </fonts>
  <fills count="46">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249977111117893"/>
        <bgColor indexed="64"/>
      </patternFill>
    </fill>
    <fill>
      <patternFill patternType="solid">
        <fgColor theme="0"/>
        <bgColor indexed="64"/>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11" fillId="0" borderId="0" applyNumberFormat="0" applyFill="0" applyBorder="0" applyAlignment="0" applyProtection="0">
      <alignment vertical="top"/>
      <protection locked="0"/>
    </xf>
    <xf numFmtId="9" fontId="1" fillId="0" borderId="0" applyFont="0" applyFill="0" applyBorder="0" applyAlignment="0" applyProtection="0"/>
    <xf numFmtId="0" fontId="2" fillId="0" borderId="0"/>
    <xf numFmtId="177" fontId="1" fillId="0" borderId="3" applyFont="0" applyFill="0" applyAlignment="0" applyProtection="0"/>
    <xf numFmtId="0" fontId="16" fillId="0" borderId="0" applyNumberFormat="0" applyFill="0" applyBorder="0" applyAlignment="0" applyProtection="0"/>
    <xf numFmtId="0" fontId="9" fillId="0" borderId="0" applyNumberFormat="0" applyFill="0" applyAlignment="0" applyProtection="0"/>
    <xf numFmtId="0" fontId="9" fillId="0" borderId="0" applyNumberFormat="0" applyFill="0" applyProtection="0">
      <alignment vertical="top"/>
    </xf>
    <xf numFmtId="0" fontId="1" fillId="0" borderId="0" applyNumberFormat="0" applyFill="0" applyProtection="0">
      <alignment horizontal="right" indent="1"/>
    </xf>
    <xf numFmtId="179" fontId="1" fillId="0" borderId="3">
      <alignment horizontal="center" vertical="center"/>
    </xf>
    <xf numFmtId="178" fontId="1" fillId="0" borderId="2" applyFill="0">
      <alignment horizontal="center" vertical="center"/>
    </xf>
    <xf numFmtId="0" fontId="1" fillId="0" borderId="2" applyFill="0">
      <alignment horizontal="center" vertical="center"/>
    </xf>
    <xf numFmtId="0" fontId="1" fillId="0" borderId="2" applyFill="0">
      <alignment horizontal="left" vertical="center" indent="2"/>
    </xf>
    <xf numFmtId="0" fontId="7" fillId="0" borderId="0" applyNumberFormat="0" applyFill="0" applyBorder="0" applyAlignment="0" applyProtection="0"/>
    <xf numFmtId="176"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0" fontId="10" fillId="0" borderId="0" applyNumberFormat="0" applyFill="0" applyBorder="0" applyAlignment="0" applyProtection="0"/>
    <xf numFmtId="0" fontId="8" fillId="13" borderId="0" applyNumberFormat="0" applyBorder="0" applyAlignment="0" applyProtection="0"/>
    <xf numFmtId="0" fontId="3" fillId="14" borderId="0" applyNumberFormat="0" applyBorder="0" applyAlignment="0" applyProtection="0"/>
    <xf numFmtId="0" fontId="14" fillId="15" borderId="0" applyNumberFormat="0" applyBorder="0" applyAlignment="0" applyProtection="0"/>
    <xf numFmtId="0" fontId="12" fillId="16" borderId="11" applyNumberFormat="0" applyAlignment="0" applyProtection="0"/>
    <xf numFmtId="0" fontId="15" fillId="17" borderId="12" applyNumberFormat="0" applyAlignment="0" applyProtection="0"/>
    <xf numFmtId="0" fontId="4" fillId="17" borderId="11" applyNumberFormat="0" applyAlignment="0" applyProtection="0"/>
    <xf numFmtId="0" fontId="13" fillId="0" borderId="13" applyNumberFormat="0" applyFill="0" applyAlignment="0" applyProtection="0"/>
    <xf numFmtId="0" fontId="5" fillId="18" borderId="14" applyNumberFormat="0" applyAlignment="0" applyProtection="0"/>
    <xf numFmtId="0" fontId="18" fillId="0" borderId="0" applyNumberFormat="0" applyFill="0" applyBorder="0" applyAlignment="0" applyProtection="0"/>
    <xf numFmtId="0" fontId="1" fillId="19" borderId="15" applyNumberFormat="0" applyFont="0" applyAlignment="0" applyProtection="0"/>
    <xf numFmtId="0" fontId="6" fillId="0" borderId="0" applyNumberFormat="0" applyFill="0" applyBorder="0" applyAlignment="0" applyProtection="0"/>
    <xf numFmtId="0" fontId="17" fillId="0" borderId="16" applyNumberFormat="0" applyFill="0" applyAlignment="0" applyProtection="0"/>
    <xf numFmtId="0" fontId="2"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2" fillId="36"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2" fillId="40" borderId="0" applyNumberFormat="0" applyBorder="0" applyAlignment="0" applyProtection="0"/>
    <xf numFmtId="0" fontId="1" fillId="41"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cellStyleXfs>
  <cellXfs count="91">
    <xf numFmtId="0" fontId="0" fillId="0" borderId="0" xfId="0"/>
    <xf numFmtId="0" fontId="0" fillId="0" borderId="0" xfId="0" applyAlignment="1">
      <alignment vertical="center"/>
    </xf>
    <xf numFmtId="0" fontId="0" fillId="0" borderId="0" xfId="0" applyAlignment="1">
      <alignment horizontal="center"/>
    </xf>
    <xf numFmtId="0" fontId="0" fillId="0" borderId="3" xfId="0"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2" fillId="0" borderId="0" xfId="3"/>
    <xf numFmtId="0" fontId="2" fillId="0" borderId="0" xfId="3" applyAlignment="1">
      <alignment wrapText="1"/>
    </xf>
    <xf numFmtId="0" fontId="0" fillId="0" borderId="0" xfId="0" applyAlignment="1">
      <alignment wrapText="1"/>
    </xf>
    <xf numFmtId="0" fontId="16" fillId="0" borderId="0" xfId="5" applyAlignment="1">
      <alignment horizontal="left"/>
    </xf>
    <xf numFmtId="0" fontId="9" fillId="0" borderId="0" xfId="6"/>
    <xf numFmtId="0" fontId="9" fillId="0" borderId="0" xfId="7">
      <alignment vertical="top"/>
    </xf>
    <xf numFmtId="0" fontId="1" fillId="7" borderId="2" xfId="11" applyFill="1">
      <alignment horizontal="center" vertical="center"/>
    </xf>
    <xf numFmtId="0" fontId="1" fillId="2" borderId="2" xfId="11" applyFill="1">
      <alignment horizontal="center" vertical="center"/>
    </xf>
    <xf numFmtId="0" fontId="1" fillId="8" borderId="2" xfId="11" applyFill="1">
      <alignment horizontal="center" vertical="center"/>
    </xf>
    <xf numFmtId="0" fontId="1" fillId="3" borderId="2" xfId="11" applyFill="1">
      <alignment horizontal="center" vertical="center"/>
    </xf>
    <xf numFmtId="0" fontId="1" fillId="5" borderId="2" xfId="11" applyFill="1">
      <alignment horizontal="center" vertical="center"/>
    </xf>
    <xf numFmtId="0" fontId="1" fillId="10" borderId="2" xfId="11" applyFill="1">
      <alignment horizontal="center" vertical="center"/>
    </xf>
    <xf numFmtId="0" fontId="1" fillId="4" borderId="2" xfId="11" applyFill="1">
      <alignment horizontal="center" vertical="center"/>
    </xf>
    <xf numFmtId="0" fontId="1" fillId="9" borderId="2" xfId="11" applyFill="1">
      <alignment horizontal="center" vertical="center"/>
    </xf>
    <xf numFmtId="0" fontId="1" fillId="2" borderId="2" xfId="12" applyFill="1">
      <alignment horizontal="left" vertical="center" indent="2"/>
    </xf>
    <xf numFmtId="0" fontId="1" fillId="3" borderId="2" xfId="12" applyFill="1">
      <alignment horizontal="left" vertical="center" indent="2"/>
    </xf>
    <xf numFmtId="0" fontId="1" fillId="10" borderId="2" xfId="12" applyFill="1">
      <alignment horizontal="left" vertical="center" indent="2"/>
    </xf>
    <xf numFmtId="0" fontId="1" fillId="9" borderId="2" xfId="12" applyFill="1">
      <alignment horizontal="left" vertical="center" indent="2"/>
    </xf>
    <xf numFmtId="0" fontId="0" fillId="0" borderId="10" xfId="0" applyBorder="1"/>
    <xf numFmtId="0" fontId="19" fillId="0" borderId="0" xfId="0" applyFont="1" applyAlignment="1">
      <alignment horizontal="left"/>
    </xf>
    <xf numFmtId="0" fontId="20" fillId="0" borderId="0" xfId="0" applyFont="1"/>
    <xf numFmtId="0" fontId="20" fillId="0" borderId="0" xfId="0" applyFont="1" applyAlignment="1">
      <alignment horizontal="center"/>
    </xf>
    <xf numFmtId="0" fontId="20" fillId="0" borderId="0" xfId="0" applyFont="1" applyAlignment="1">
      <alignment horizontal="center" vertical="center"/>
    </xf>
    <xf numFmtId="0" fontId="21" fillId="0" borderId="0" xfId="0" applyFont="1"/>
    <xf numFmtId="0" fontId="20" fillId="0" borderId="0" xfId="1" applyFont="1" applyProtection="1">
      <alignment vertical="top"/>
    </xf>
    <xf numFmtId="0" fontId="23" fillId="12" borderId="1" xfId="0" applyFont="1" applyFill="1" applyBorder="1" applyAlignment="1">
      <alignment horizontal="left" vertical="center" indent="1"/>
    </xf>
    <xf numFmtId="0" fontId="23" fillId="12" borderId="1" xfId="0" applyFont="1" applyFill="1" applyBorder="1" applyAlignment="1">
      <alignment horizontal="center" vertical="center" wrapText="1"/>
    </xf>
    <xf numFmtId="0" fontId="24" fillId="11" borderId="8" xfId="0" applyFont="1" applyFill="1" applyBorder="1" applyAlignment="1">
      <alignment horizontal="center" vertical="center" shrinkToFit="1"/>
    </xf>
    <xf numFmtId="0" fontId="17" fillId="7" borderId="2" xfId="0" applyFont="1" applyFill="1" applyBorder="1" applyAlignment="1">
      <alignment horizontal="left" vertical="center" indent="1"/>
    </xf>
    <xf numFmtId="9" fontId="25" fillId="7" borderId="2" xfId="2" applyFont="1" applyFill="1" applyBorder="1" applyAlignment="1">
      <alignment horizontal="center" vertical="center"/>
    </xf>
    <xf numFmtId="0" fontId="25" fillId="0" borderId="2" xfId="0" applyFont="1" applyBorder="1" applyAlignment="1">
      <alignment horizontal="center" vertical="center"/>
    </xf>
    <xf numFmtId="9" fontId="25" fillId="2" borderId="2" xfId="2" applyFont="1" applyFill="1" applyBorder="1" applyAlignment="1">
      <alignment horizontal="center" vertical="center"/>
    </xf>
    <xf numFmtId="0" fontId="17" fillId="8" borderId="2" xfId="0" applyFont="1" applyFill="1" applyBorder="1" applyAlignment="1">
      <alignment horizontal="left" vertical="center" indent="1"/>
    </xf>
    <xf numFmtId="9" fontId="25" fillId="8" borderId="2" xfId="2" applyFont="1" applyFill="1" applyBorder="1" applyAlignment="1">
      <alignment horizontal="center" vertical="center"/>
    </xf>
    <xf numFmtId="9" fontId="25" fillId="3" borderId="2" xfId="2" applyFont="1" applyFill="1" applyBorder="1" applyAlignment="1">
      <alignment horizontal="center" vertical="center"/>
    </xf>
    <xf numFmtId="0" fontId="17" fillId="5" borderId="2" xfId="0" applyFont="1" applyFill="1" applyBorder="1" applyAlignment="1">
      <alignment horizontal="left" vertical="center" indent="1"/>
    </xf>
    <xf numFmtId="9" fontId="25" fillId="5" borderId="2" xfId="2" applyFont="1" applyFill="1" applyBorder="1" applyAlignment="1">
      <alignment horizontal="center" vertical="center"/>
    </xf>
    <xf numFmtId="9" fontId="25" fillId="10" borderId="2" xfId="2" applyFont="1" applyFill="1" applyBorder="1" applyAlignment="1">
      <alignment horizontal="center" vertical="center"/>
    </xf>
    <xf numFmtId="0" fontId="17" fillId="4" borderId="2" xfId="0" applyFont="1" applyFill="1" applyBorder="1" applyAlignment="1">
      <alignment horizontal="left" vertical="center" indent="1"/>
    </xf>
    <xf numFmtId="9" fontId="25" fillId="4" borderId="2" xfId="2" applyFont="1" applyFill="1" applyBorder="1" applyAlignment="1">
      <alignment horizontal="center" vertical="center"/>
    </xf>
    <xf numFmtId="9" fontId="25" fillId="9" borderId="2" xfId="2" applyFont="1" applyFill="1" applyBorder="1" applyAlignment="1">
      <alignment horizontal="center" vertical="center"/>
    </xf>
    <xf numFmtId="0" fontId="27" fillId="0" borderId="0" xfId="0" applyFont="1" applyAlignment="1">
      <alignment vertical="top"/>
    </xf>
    <xf numFmtId="0" fontId="27" fillId="0" borderId="0" xfId="0" applyFont="1"/>
    <xf numFmtId="0" fontId="28" fillId="0" borderId="0" xfId="0" applyFont="1" applyAlignment="1">
      <alignment horizontal="left" vertical="center"/>
    </xf>
    <xf numFmtId="0" fontId="29" fillId="0" borderId="0" xfId="0" applyFont="1" applyAlignment="1">
      <alignment horizontal="left" vertical="center"/>
    </xf>
    <xf numFmtId="0" fontId="30" fillId="0" borderId="0" xfId="0" applyFont="1" applyAlignment="1">
      <alignment vertical="top"/>
    </xf>
    <xf numFmtId="0" fontId="31" fillId="0" borderId="0" xfId="0" applyFont="1" applyAlignment="1">
      <alignment vertical="top"/>
    </xf>
    <xf numFmtId="0" fontId="27" fillId="0" borderId="0" xfId="0" applyFont="1" applyAlignment="1">
      <alignment horizontal="left" vertical="top"/>
    </xf>
    <xf numFmtId="0" fontId="32" fillId="0" borderId="0" xfId="0" applyFont="1" applyAlignment="1">
      <alignment vertical="center"/>
    </xf>
    <xf numFmtId="0" fontId="33" fillId="0" borderId="0" xfId="0" applyFont="1"/>
    <xf numFmtId="0" fontId="34" fillId="0" borderId="0" xfId="0" applyFont="1" applyAlignment="1">
      <alignment horizontal="left" vertical="top" wrapText="1" indent="1"/>
    </xf>
    <xf numFmtId="0" fontId="35" fillId="0" borderId="0" xfId="0" applyFont="1" applyAlignment="1">
      <alignment vertical="top" wrapText="1"/>
    </xf>
    <xf numFmtId="0" fontId="36" fillId="0" borderId="0" xfId="1" applyFont="1" applyAlignment="1" applyProtection="1">
      <alignment horizontal="left" vertical="top"/>
    </xf>
    <xf numFmtId="178" fontId="0" fillId="7" borderId="2" xfId="0" applyNumberFormat="1" applyFill="1" applyBorder="1" applyAlignment="1">
      <alignment horizontal="center" vertical="center"/>
    </xf>
    <xf numFmtId="178" fontId="25" fillId="7" borderId="2" xfId="0" applyNumberFormat="1" applyFont="1" applyFill="1" applyBorder="1" applyAlignment="1">
      <alignment horizontal="center" vertical="center"/>
    </xf>
    <xf numFmtId="178" fontId="1" fillId="2" borderId="2" xfId="10" applyNumberFormat="1" applyFill="1">
      <alignment horizontal="center" vertical="center"/>
    </xf>
    <xf numFmtId="178" fontId="0" fillId="8" borderId="2" xfId="0" applyNumberFormat="1" applyFill="1" applyBorder="1" applyAlignment="1">
      <alignment horizontal="center" vertical="center"/>
    </xf>
    <xf numFmtId="178" fontId="25" fillId="8" borderId="2" xfId="0" applyNumberFormat="1" applyFont="1" applyFill="1" applyBorder="1" applyAlignment="1">
      <alignment horizontal="center" vertical="center"/>
    </xf>
    <xf numFmtId="178" fontId="1" fillId="3" borderId="2" xfId="10" applyNumberFormat="1" applyFill="1">
      <alignment horizontal="center" vertical="center"/>
    </xf>
    <xf numFmtId="178" fontId="0" fillId="5" borderId="2" xfId="0" applyNumberFormat="1" applyFill="1" applyBorder="1" applyAlignment="1">
      <alignment horizontal="center" vertical="center"/>
    </xf>
    <xf numFmtId="178" fontId="25" fillId="5" borderId="2" xfId="0" applyNumberFormat="1" applyFont="1" applyFill="1" applyBorder="1" applyAlignment="1">
      <alignment horizontal="center" vertical="center"/>
    </xf>
    <xf numFmtId="178" fontId="1" fillId="10" borderId="2" xfId="10" applyNumberFormat="1" applyFill="1">
      <alignment horizontal="center" vertical="center"/>
    </xf>
    <xf numFmtId="178" fontId="0" fillId="4" borderId="2" xfId="0" applyNumberFormat="1" applyFill="1" applyBorder="1" applyAlignment="1">
      <alignment horizontal="center" vertical="center"/>
    </xf>
    <xf numFmtId="178" fontId="25" fillId="4" borderId="2" xfId="0" applyNumberFormat="1" applyFont="1" applyFill="1" applyBorder="1" applyAlignment="1">
      <alignment horizontal="center" vertical="center"/>
    </xf>
    <xf numFmtId="178" fontId="1" fillId="9" borderId="2" xfId="10" applyNumberFormat="1" applyFill="1">
      <alignment horizontal="center" vertical="center"/>
    </xf>
    <xf numFmtId="180" fontId="22" fillId="6" borderId="6" xfId="0" applyNumberFormat="1" applyFont="1" applyFill="1" applyBorder="1" applyAlignment="1">
      <alignment horizontal="center" vertical="center"/>
    </xf>
    <xf numFmtId="180" fontId="22" fillId="6" borderId="0" xfId="0" applyNumberFormat="1" applyFont="1" applyFill="1" applyAlignment="1">
      <alignment horizontal="center" vertical="center"/>
    </xf>
    <xf numFmtId="180" fontId="22" fillId="6" borderId="7" xfId="0" applyNumberFormat="1" applyFont="1" applyFill="1" applyBorder="1" applyAlignment="1">
      <alignment horizontal="center" vertical="center"/>
    </xf>
    <xf numFmtId="0" fontId="17" fillId="44" borderId="2" xfId="0" applyFont="1" applyFill="1" applyBorder="1" applyAlignment="1">
      <alignment horizontal="left" vertical="center" indent="1"/>
    </xf>
    <xf numFmtId="0" fontId="1" fillId="44" borderId="2" xfId="11" applyFill="1">
      <alignment horizontal="center" vertical="center"/>
    </xf>
    <xf numFmtId="9" fontId="25" fillId="44" borderId="2" xfId="2" applyFont="1" applyFill="1" applyBorder="1" applyAlignment="1">
      <alignment horizontal="center" vertical="center"/>
    </xf>
    <xf numFmtId="178" fontId="0" fillId="44" borderId="2" xfId="0" applyNumberFormat="1" applyFill="1" applyBorder="1" applyAlignment="1">
      <alignment horizontal="center" vertical="center"/>
    </xf>
    <xf numFmtId="178" fontId="25" fillId="44" borderId="2" xfId="0" applyNumberFormat="1" applyFont="1" applyFill="1" applyBorder="1" applyAlignment="1">
      <alignment horizontal="center" vertical="center"/>
    </xf>
    <xf numFmtId="0" fontId="2" fillId="45" borderId="0" xfId="3" applyFill="1"/>
    <xf numFmtId="0" fontId="25" fillId="45" borderId="2" xfId="0" applyFont="1" applyFill="1" applyBorder="1" applyAlignment="1">
      <alignment horizontal="center" vertical="center"/>
    </xf>
    <xf numFmtId="0" fontId="0" fillId="45" borderId="9" xfId="0" applyFill="1" applyBorder="1" applyAlignment="1">
      <alignment vertical="center"/>
    </xf>
    <xf numFmtId="0" fontId="0" fillId="45" borderId="0" xfId="0" applyFill="1" applyAlignment="1">
      <alignment vertical="center"/>
    </xf>
    <xf numFmtId="0" fontId="37" fillId="44" borderId="2" xfId="0" applyFont="1" applyFill="1" applyBorder="1" applyAlignment="1">
      <alignment horizontal="left" vertical="center" indent="1"/>
    </xf>
    <xf numFmtId="0" fontId="18" fillId="45" borderId="9" xfId="0" applyFont="1" applyFill="1" applyBorder="1" applyAlignment="1">
      <alignment vertical="center"/>
    </xf>
    <xf numFmtId="0" fontId="1" fillId="0" borderId="0" xfId="8">
      <alignment horizontal="right" indent="1"/>
    </xf>
    <xf numFmtId="0" fontId="1" fillId="0" borderId="7" xfId="8" applyBorder="1">
      <alignment horizontal="right" indent="1"/>
    </xf>
    <xf numFmtId="14" fontId="0" fillId="6" borderId="4" xfId="0" applyNumberFormat="1" applyFill="1" applyBorder="1" applyAlignment="1">
      <alignment horizontal="left" vertical="center" wrapText="1" indent="1"/>
    </xf>
    <xf numFmtId="14" fontId="0" fillId="6" borderId="1" xfId="0" applyNumberFormat="1" applyFill="1" applyBorder="1" applyAlignment="1">
      <alignment horizontal="left" vertical="center" wrapText="1" indent="1"/>
    </xf>
    <xf numFmtId="14" fontId="0" fillId="6" borderId="5" xfId="0" applyNumberFormat="1" applyFill="1" applyBorder="1" applyAlignment="1">
      <alignment horizontal="left" vertical="center" wrapText="1" indent="1"/>
    </xf>
    <xf numFmtId="179" fontId="1" fillId="0" borderId="3" xfId="9" applyNumberFormat="1">
      <alignment horizontal="center" vertical="center"/>
    </xf>
  </cellXfs>
  <cellStyles count="54">
    <cellStyle name="20% - アクセント 1" xfId="31" builtinId="30" customBuiltin="1"/>
    <cellStyle name="20% - アクセント 2" xfId="35" builtinId="34" customBuiltin="1"/>
    <cellStyle name="20% - アクセント 3" xfId="39" builtinId="38" customBuiltin="1"/>
    <cellStyle name="20% - アクセント 4" xfId="43" builtinId="42" customBuiltin="1"/>
    <cellStyle name="20% - アクセント 5" xfId="47" builtinId="46" customBuiltin="1"/>
    <cellStyle name="20% - アクセント 6" xfId="51" builtinId="50" customBuiltin="1"/>
    <cellStyle name="40% - アクセント 1" xfId="32" builtinId="31" customBuiltin="1"/>
    <cellStyle name="40% - アクセント 2" xfId="36" builtinId="35" customBuiltin="1"/>
    <cellStyle name="40% - アクセント 3" xfId="40" builtinId="39" customBuiltin="1"/>
    <cellStyle name="40% - アクセント 4" xfId="44" builtinId="43" customBuiltin="1"/>
    <cellStyle name="40% - アクセント 5" xfId="48" builtinId="47" customBuiltin="1"/>
    <cellStyle name="40% - アクセント 6" xfId="52" builtinId="51" customBuiltin="1"/>
    <cellStyle name="60% - アクセント 1" xfId="33" builtinId="32" customBuiltin="1"/>
    <cellStyle name="60% - アクセント 2" xfId="37" builtinId="36" customBuiltin="1"/>
    <cellStyle name="60% - アクセント 3" xfId="41" builtinId="40" customBuiltin="1"/>
    <cellStyle name="60% - アクセント 4" xfId="45" builtinId="44" customBuiltin="1"/>
    <cellStyle name="60% - アクセント 5" xfId="49" builtinId="48" customBuiltin="1"/>
    <cellStyle name="60% - アクセント 6" xfId="53" builtinId="52" customBuiltin="1"/>
    <cellStyle name="z_非表示_テキスト" xfId="3" xr:uid="{26E66EE6-E33F-4D77-BAE4-0FB4F5BBF673}"/>
    <cellStyle name="アクセント 1" xfId="30" builtinId="29" customBuiltin="1"/>
    <cellStyle name="アクセント 2" xfId="34" builtinId="33" customBuiltin="1"/>
    <cellStyle name="アクセント 3" xfId="38" builtinId="37" customBuiltin="1"/>
    <cellStyle name="アクセント 4" xfId="42" builtinId="41" customBuiltin="1"/>
    <cellStyle name="アクセント 5" xfId="46" builtinId="45" customBuiltin="1"/>
    <cellStyle name="アクセント 6" xfId="50" builtinId="49" customBuiltin="1"/>
    <cellStyle name="タイトル" xfId="5" builtinId="15" customBuiltin="1"/>
    <cellStyle name="タスク" xfId="12" xr:uid="{6391D789-272B-4DD2-9BF3-2CDCF610FA41}"/>
    <cellStyle name="チェック セル" xfId="25" builtinId="23" customBuiltin="1"/>
    <cellStyle name="どちらでもない" xfId="20" builtinId="28" customBuiltin="1"/>
    <cellStyle name="パーセント" xfId="2" builtinId="5" customBuiltin="1"/>
    <cellStyle name="ハイパーリンク" xfId="1" builtinId="8" customBuiltin="1"/>
    <cellStyle name="プロジェクトの開始" xfId="9" xr:uid="{8EB8A09A-C31C-40A3-B2C1-9449520178B8}"/>
    <cellStyle name="メモ" xfId="27" builtinId="10" customBuiltin="1"/>
    <cellStyle name="リンク セル" xfId="24" builtinId="24" customBuiltin="1"/>
    <cellStyle name="悪い" xfId="19" builtinId="27" customBuiltin="1"/>
    <cellStyle name="計算" xfId="23" builtinId="22" customBuiltin="1"/>
    <cellStyle name="警告文" xfId="26" builtinId="11" customBuiltin="1"/>
    <cellStyle name="桁区切り" xfId="14" builtinId="6" customBuiltin="1"/>
    <cellStyle name="桁区切り [0.00]" xfId="4" builtinId="3" customBuiltin="1"/>
    <cellStyle name="見出し 1" xfId="6" builtinId="16" customBuiltin="1"/>
    <cellStyle name="見出し 2" xfId="7" builtinId="17" customBuiltin="1"/>
    <cellStyle name="見出し 3" xfId="8" builtinId="18" customBuiltin="1"/>
    <cellStyle name="見出し 4" xfId="17" builtinId="19" customBuiltin="1"/>
    <cellStyle name="集計" xfId="29" builtinId="25" customBuiltin="1"/>
    <cellStyle name="出力" xfId="22" builtinId="21" customBuiltin="1"/>
    <cellStyle name="説明文" xfId="28" builtinId="53" customBuiltin="1"/>
    <cellStyle name="通貨" xfId="16" builtinId="7" customBuiltin="1"/>
    <cellStyle name="通貨 [0.00]" xfId="15" builtinId="4" customBuiltin="1"/>
    <cellStyle name="日付" xfId="10" xr:uid="{229918B6-DD13-4F5A-97B9-305F7E002AA3}"/>
    <cellStyle name="入力" xfId="21" builtinId="20" customBuiltin="1"/>
    <cellStyle name="標準" xfId="0" builtinId="0" customBuiltin="1"/>
    <cellStyle name="表示済みのハイパーリンク" xfId="13" builtinId="9" customBuiltin="1"/>
    <cellStyle name="名前" xfId="11" xr:uid="{B2D3C1EE-6B41-4801-AAFC-C2274E49E503}"/>
    <cellStyle name="良い" xfId="18" builtinId="26" customBuiltin="1"/>
  </cellStyles>
  <dxfs count="219">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作業リスト" pivot="0" count="9" xr9:uid="{00000000-0011-0000-FFFF-FFFF00000000}">
      <tableStyleElement type="wholeTable" dxfId="218"/>
      <tableStyleElement type="headerRow" dxfId="217"/>
      <tableStyleElement type="totalRow" dxfId="216"/>
      <tableStyleElement type="firstColumn" dxfId="215"/>
      <tableStyleElement type="lastColumn" dxfId="214"/>
      <tableStyleElement type="firstRowStripe" dxfId="213"/>
      <tableStyleElement type="secondRowStripe" dxfId="212"/>
      <tableStyleElement type="firstColumnStripe" dxfId="211"/>
      <tableStyleElement type="secondColumnStripe" dxfId="21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画像 1" descr="Vertex42 ロゴ">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K89"/>
  <sheetViews>
    <sheetView showGridLines="0" tabSelected="1" showRuler="0" zoomScaleNormal="100" zoomScalePageLayoutView="70" workbookViewId="0">
      <pane ySplit="6" topLeftCell="A8" activePane="bottomLeft" state="frozen"/>
      <selection pane="bottomLeft" activeCell="D16" sqref="D16"/>
    </sheetView>
  </sheetViews>
  <sheetFormatPr defaultRowHeight="30" customHeight="1" x14ac:dyDescent="0.3"/>
  <cols>
    <col min="1" max="1" width="2.54296875" style="6" customWidth="1"/>
    <col min="2" max="2" width="19.81640625" customWidth="1"/>
    <col min="3" max="3" width="30.54296875" customWidth="1"/>
    <col min="4" max="4" width="10.54296875" customWidth="1"/>
    <col min="5" max="5" width="10.1796875" style="2" customWidth="1"/>
    <col min="6" max="6" width="10.1796875" customWidth="1"/>
    <col min="7" max="7" width="2.54296875" customWidth="1"/>
    <col min="8" max="8" width="6" hidden="1" customWidth="1"/>
    <col min="9" max="89" width="2.453125" customWidth="1"/>
  </cols>
  <sheetData>
    <row r="1" spans="1:89" ht="30" customHeight="1" x14ac:dyDescent="0.55000000000000004">
      <c r="A1" s="7" t="s">
        <v>0</v>
      </c>
      <c r="B1" s="9" t="s">
        <v>12</v>
      </c>
      <c r="C1" s="25"/>
      <c r="D1" s="26"/>
      <c r="E1" s="27"/>
      <c r="F1" s="28"/>
      <c r="H1" s="26"/>
      <c r="I1" s="29" t="s">
        <v>22</v>
      </c>
    </row>
    <row r="2" spans="1:89" ht="30" customHeight="1" x14ac:dyDescent="0.35">
      <c r="A2" s="6" t="s">
        <v>1</v>
      </c>
      <c r="B2" s="10" t="s">
        <v>13</v>
      </c>
      <c r="I2" s="30" t="s">
        <v>23</v>
      </c>
    </row>
    <row r="3" spans="1:89" ht="30" customHeight="1" x14ac:dyDescent="0.3">
      <c r="A3" s="6" t="s">
        <v>2</v>
      </c>
      <c r="B3" s="11" t="s">
        <v>14</v>
      </c>
      <c r="C3" s="85" t="s">
        <v>16</v>
      </c>
      <c r="D3" s="86"/>
      <c r="E3" s="90">
        <v>46314</v>
      </c>
      <c r="F3" s="90"/>
    </row>
    <row r="4" spans="1:89" ht="30" customHeight="1" x14ac:dyDescent="0.3">
      <c r="A4" s="7" t="s">
        <v>3</v>
      </c>
      <c r="C4" s="85" t="s">
        <v>17</v>
      </c>
      <c r="D4" s="86"/>
      <c r="E4" s="3">
        <v>1</v>
      </c>
      <c r="I4" s="87">
        <f>I5</f>
        <v>46314</v>
      </c>
      <c r="J4" s="88"/>
      <c r="K4" s="88"/>
      <c r="L4" s="88"/>
      <c r="M4" s="88"/>
      <c r="N4" s="88"/>
      <c r="O4" s="89"/>
      <c r="P4" s="87">
        <f>P5</f>
        <v>46321</v>
      </c>
      <c r="Q4" s="88"/>
      <c r="R4" s="88"/>
      <c r="S4" s="88"/>
      <c r="T4" s="88"/>
      <c r="U4" s="88"/>
      <c r="V4" s="89"/>
      <c r="W4" s="87">
        <f>W5</f>
        <v>46328</v>
      </c>
      <c r="X4" s="88"/>
      <c r="Y4" s="88"/>
      <c r="Z4" s="88"/>
      <c r="AA4" s="88"/>
      <c r="AB4" s="88"/>
      <c r="AC4" s="89"/>
      <c r="AD4" s="87">
        <f>AD5</f>
        <v>46335</v>
      </c>
      <c r="AE4" s="88"/>
      <c r="AF4" s="88"/>
      <c r="AG4" s="88"/>
      <c r="AH4" s="88"/>
      <c r="AI4" s="88"/>
      <c r="AJ4" s="89"/>
      <c r="AK4" s="87">
        <f>AK5</f>
        <v>46342</v>
      </c>
      <c r="AL4" s="88"/>
      <c r="AM4" s="88"/>
      <c r="AN4" s="88"/>
      <c r="AO4" s="88"/>
      <c r="AP4" s="88"/>
      <c r="AQ4" s="89"/>
      <c r="AR4" s="87">
        <f>AR5</f>
        <v>46349</v>
      </c>
      <c r="AS4" s="88"/>
      <c r="AT4" s="88"/>
      <c r="AU4" s="88"/>
      <c r="AV4" s="88"/>
      <c r="AW4" s="88"/>
      <c r="AX4" s="89"/>
      <c r="AY4" s="87">
        <f>AY5</f>
        <v>46356</v>
      </c>
      <c r="AZ4" s="88"/>
      <c r="BA4" s="88"/>
      <c r="BB4" s="88"/>
      <c r="BC4" s="88"/>
      <c r="BD4" s="88"/>
      <c r="BE4" s="89"/>
      <c r="BF4" s="87">
        <f>BF5</f>
        <v>46363</v>
      </c>
      <c r="BG4" s="88"/>
      <c r="BH4" s="88"/>
      <c r="BI4" s="88"/>
      <c r="BJ4" s="88"/>
      <c r="BK4" s="88"/>
      <c r="BL4" s="89"/>
      <c r="BM4" s="87">
        <f>BM5</f>
        <v>46370</v>
      </c>
      <c r="BN4" s="88"/>
      <c r="BO4" s="88"/>
      <c r="BP4" s="88"/>
      <c r="BQ4" s="88"/>
      <c r="BR4" s="88"/>
      <c r="BS4" s="89"/>
      <c r="BY4" s="87">
        <f>BY5</f>
        <v>46382</v>
      </c>
      <c r="BZ4" s="88"/>
      <c r="CA4" s="88"/>
      <c r="CB4" s="88"/>
      <c r="CC4" s="88"/>
      <c r="CD4" s="88"/>
      <c r="CE4" s="89"/>
    </row>
    <row r="5" spans="1:89" ht="15" customHeight="1" x14ac:dyDescent="0.3">
      <c r="A5" s="7" t="s">
        <v>4</v>
      </c>
      <c r="B5" s="24"/>
      <c r="C5" s="24"/>
      <c r="D5" s="24"/>
      <c r="E5" s="24"/>
      <c r="F5" s="24"/>
      <c r="G5" s="24"/>
      <c r="I5" s="71">
        <f>プロジェクトの開始-WEEKDAY(プロジェクトの開始,1)+2+7*(週表示-1)</f>
        <v>46314</v>
      </c>
      <c r="J5" s="72">
        <f>I5+1</f>
        <v>46315</v>
      </c>
      <c r="K5" s="72">
        <f t="shared" ref="K5:AX5" si="0">J5+1</f>
        <v>46316</v>
      </c>
      <c r="L5" s="72">
        <f t="shared" si="0"/>
        <v>46317</v>
      </c>
      <c r="M5" s="72">
        <f t="shared" si="0"/>
        <v>46318</v>
      </c>
      <c r="N5" s="72">
        <f t="shared" si="0"/>
        <v>46319</v>
      </c>
      <c r="O5" s="73">
        <f t="shared" si="0"/>
        <v>46320</v>
      </c>
      <c r="P5" s="71">
        <f>O5+1</f>
        <v>46321</v>
      </c>
      <c r="Q5" s="72">
        <f>P5+1</f>
        <v>46322</v>
      </c>
      <c r="R5" s="72">
        <f t="shared" si="0"/>
        <v>46323</v>
      </c>
      <c r="S5" s="72">
        <f t="shared" si="0"/>
        <v>46324</v>
      </c>
      <c r="T5" s="72">
        <f t="shared" si="0"/>
        <v>46325</v>
      </c>
      <c r="U5" s="72">
        <f t="shared" si="0"/>
        <v>46326</v>
      </c>
      <c r="V5" s="73">
        <f t="shared" si="0"/>
        <v>46327</v>
      </c>
      <c r="W5" s="71">
        <f>V5+1</f>
        <v>46328</v>
      </c>
      <c r="X5" s="72">
        <f>W5+1</f>
        <v>46329</v>
      </c>
      <c r="Y5" s="72">
        <f t="shared" si="0"/>
        <v>46330</v>
      </c>
      <c r="Z5" s="72">
        <f t="shared" si="0"/>
        <v>46331</v>
      </c>
      <c r="AA5" s="72">
        <f t="shared" si="0"/>
        <v>46332</v>
      </c>
      <c r="AB5" s="72">
        <f t="shared" si="0"/>
        <v>46333</v>
      </c>
      <c r="AC5" s="73">
        <f t="shared" si="0"/>
        <v>46334</v>
      </c>
      <c r="AD5" s="71">
        <f>AC5+1</f>
        <v>46335</v>
      </c>
      <c r="AE5" s="72">
        <f>AD5+1</f>
        <v>46336</v>
      </c>
      <c r="AF5" s="72">
        <f t="shared" si="0"/>
        <v>46337</v>
      </c>
      <c r="AG5" s="72">
        <f t="shared" si="0"/>
        <v>46338</v>
      </c>
      <c r="AH5" s="72">
        <f t="shared" si="0"/>
        <v>46339</v>
      </c>
      <c r="AI5" s="72">
        <f t="shared" si="0"/>
        <v>46340</v>
      </c>
      <c r="AJ5" s="73">
        <f t="shared" si="0"/>
        <v>46341</v>
      </c>
      <c r="AK5" s="71">
        <f>AJ5+1</f>
        <v>46342</v>
      </c>
      <c r="AL5" s="72">
        <f>AK5+1</f>
        <v>46343</v>
      </c>
      <c r="AM5" s="72">
        <f t="shared" si="0"/>
        <v>46344</v>
      </c>
      <c r="AN5" s="72">
        <f t="shared" si="0"/>
        <v>46345</v>
      </c>
      <c r="AO5" s="72">
        <f t="shared" si="0"/>
        <v>46346</v>
      </c>
      <c r="AP5" s="72">
        <f t="shared" si="0"/>
        <v>46347</v>
      </c>
      <c r="AQ5" s="73">
        <f t="shared" si="0"/>
        <v>46348</v>
      </c>
      <c r="AR5" s="71">
        <f>AQ5+1</f>
        <v>46349</v>
      </c>
      <c r="AS5" s="72">
        <f>AR5+1</f>
        <v>46350</v>
      </c>
      <c r="AT5" s="72">
        <f t="shared" si="0"/>
        <v>46351</v>
      </c>
      <c r="AU5" s="72">
        <f t="shared" si="0"/>
        <v>46352</v>
      </c>
      <c r="AV5" s="72">
        <f t="shared" si="0"/>
        <v>46353</v>
      </c>
      <c r="AW5" s="72">
        <f t="shared" si="0"/>
        <v>46354</v>
      </c>
      <c r="AX5" s="73">
        <f t="shared" si="0"/>
        <v>46355</v>
      </c>
      <c r="AY5" s="71">
        <f>AX5+1</f>
        <v>46356</v>
      </c>
      <c r="AZ5" s="72">
        <f>AY5+1</f>
        <v>46357</v>
      </c>
      <c r="BA5" s="72">
        <f t="shared" ref="BA5:BE5" si="1">AZ5+1</f>
        <v>46358</v>
      </c>
      <c r="BB5" s="72">
        <f t="shared" si="1"/>
        <v>46359</v>
      </c>
      <c r="BC5" s="72">
        <f t="shared" si="1"/>
        <v>46360</v>
      </c>
      <c r="BD5" s="72">
        <f t="shared" si="1"/>
        <v>46361</v>
      </c>
      <c r="BE5" s="73">
        <f t="shared" si="1"/>
        <v>46362</v>
      </c>
      <c r="BF5" s="71">
        <f>BE5+1</f>
        <v>46363</v>
      </c>
      <c r="BG5" s="72">
        <f>BF5+1</f>
        <v>46364</v>
      </c>
      <c r="BH5" s="72">
        <f t="shared" ref="BH5:BL5" si="2">BG5+1</f>
        <v>46365</v>
      </c>
      <c r="BI5" s="72">
        <f t="shared" si="2"/>
        <v>46366</v>
      </c>
      <c r="BJ5" s="72">
        <f t="shared" si="2"/>
        <v>46367</v>
      </c>
      <c r="BK5" s="72">
        <f t="shared" si="2"/>
        <v>46368</v>
      </c>
      <c r="BL5" s="73">
        <f t="shared" si="2"/>
        <v>46369</v>
      </c>
      <c r="BM5" s="71">
        <f>BL5+1</f>
        <v>46370</v>
      </c>
      <c r="BN5" s="72">
        <f>BM5+1</f>
        <v>46371</v>
      </c>
      <c r="BO5" s="72">
        <f t="shared" ref="BO5" si="3">BN5+1</f>
        <v>46372</v>
      </c>
      <c r="BP5" s="72">
        <f t="shared" ref="BP5" si="4">BO5+1</f>
        <v>46373</v>
      </c>
      <c r="BQ5" s="72">
        <f t="shared" ref="BQ5" si="5">BP5+1</f>
        <v>46374</v>
      </c>
      <c r="BR5" s="72">
        <f t="shared" ref="BR5" si="6">BQ5+1</f>
        <v>46375</v>
      </c>
      <c r="BS5" s="71">
        <f>BR5+1</f>
        <v>46376</v>
      </c>
      <c r="BT5" s="72">
        <f>BS5+1</f>
        <v>46377</v>
      </c>
      <c r="BU5" s="72">
        <f t="shared" ref="BU5" si="7">BT5+1</f>
        <v>46378</v>
      </c>
      <c r="BV5" s="72">
        <f t="shared" ref="BV5" si="8">BU5+1</f>
        <v>46379</v>
      </c>
      <c r="BW5" s="72">
        <f t="shared" ref="BW5" si="9">BV5+1</f>
        <v>46380</v>
      </c>
      <c r="BX5" s="72">
        <f t="shared" ref="BX5" si="10">BW5+1</f>
        <v>46381</v>
      </c>
      <c r="BY5" s="71">
        <f>BX5+1</f>
        <v>46382</v>
      </c>
      <c r="BZ5" s="72">
        <f>BY5+1</f>
        <v>46383</v>
      </c>
      <c r="CA5" s="72">
        <f t="shared" ref="CA5" si="11">BZ5+1</f>
        <v>46384</v>
      </c>
      <c r="CB5" s="72">
        <f t="shared" ref="CB5" si="12">CA5+1</f>
        <v>46385</v>
      </c>
      <c r="CC5" s="72">
        <f t="shared" ref="CC5" si="13">CB5+1</f>
        <v>46386</v>
      </c>
      <c r="CD5" s="72">
        <f t="shared" ref="CD5" si="14">CC5+1</f>
        <v>46387</v>
      </c>
      <c r="CE5" s="71">
        <f>CD5+1</f>
        <v>46388</v>
      </c>
      <c r="CF5" s="72">
        <f>CE5+1</f>
        <v>46389</v>
      </c>
      <c r="CG5" s="72">
        <f t="shared" ref="CG5" si="15">CF5+1</f>
        <v>46390</v>
      </c>
      <c r="CH5" s="72">
        <f t="shared" ref="CH5" si="16">CG5+1</f>
        <v>46391</v>
      </c>
      <c r="CI5" s="72">
        <f t="shared" ref="CI5" si="17">CH5+1</f>
        <v>46392</v>
      </c>
      <c r="CJ5" s="72">
        <f t="shared" ref="CJ5" si="18">CI5+1</f>
        <v>46393</v>
      </c>
      <c r="CK5" s="73">
        <f t="shared" ref="CK5" si="19">CJ5+1</f>
        <v>46394</v>
      </c>
    </row>
    <row r="6" spans="1:89" ht="30" customHeight="1" thickBot="1" x14ac:dyDescent="0.35">
      <c r="A6" s="7" t="s">
        <v>5</v>
      </c>
      <c r="B6" s="31" t="s">
        <v>15</v>
      </c>
      <c r="C6" s="32" t="s">
        <v>48</v>
      </c>
      <c r="D6" s="32" t="s">
        <v>18</v>
      </c>
      <c r="E6" s="32" t="s">
        <v>19</v>
      </c>
      <c r="F6" s="32" t="s">
        <v>20</v>
      </c>
      <c r="G6" s="32"/>
      <c r="H6" s="32" t="s">
        <v>21</v>
      </c>
      <c r="I6" s="33" t="str">
        <f t="shared" ref="I6:AN6" si="20">LEFT(TEXT(I5,"aaa"),1)</f>
        <v>月</v>
      </c>
      <c r="J6" s="33" t="str">
        <f t="shared" si="20"/>
        <v>火</v>
      </c>
      <c r="K6" s="33" t="str">
        <f t="shared" si="20"/>
        <v>水</v>
      </c>
      <c r="L6" s="33" t="str">
        <f t="shared" si="20"/>
        <v>木</v>
      </c>
      <c r="M6" s="33" t="str">
        <f t="shared" si="20"/>
        <v>金</v>
      </c>
      <c r="N6" s="33" t="str">
        <f t="shared" si="20"/>
        <v>土</v>
      </c>
      <c r="O6" s="33" t="str">
        <f t="shared" si="20"/>
        <v>日</v>
      </c>
      <c r="P6" s="33" t="str">
        <f t="shared" si="20"/>
        <v>月</v>
      </c>
      <c r="Q6" s="33" t="str">
        <f t="shared" si="20"/>
        <v>火</v>
      </c>
      <c r="R6" s="33" t="str">
        <f t="shared" si="20"/>
        <v>水</v>
      </c>
      <c r="S6" s="33" t="str">
        <f t="shared" si="20"/>
        <v>木</v>
      </c>
      <c r="T6" s="33" t="str">
        <f t="shared" si="20"/>
        <v>金</v>
      </c>
      <c r="U6" s="33" t="str">
        <f t="shared" si="20"/>
        <v>土</v>
      </c>
      <c r="V6" s="33" t="str">
        <f t="shared" si="20"/>
        <v>日</v>
      </c>
      <c r="W6" s="33" t="str">
        <f t="shared" si="20"/>
        <v>月</v>
      </c>
      <c r="X6" s="33" t="str">
        <f t="shared" si="20"/>
        <v>火</v>
      </c>
      <c r="Y6" s="33" t="str">
        <f t="shared" si="20"/>
        <v>水</v>
      </c>
      <c r="Z6" s="33" t="str">
        <f t="shared" si="20"/>
        <v>木</v>
      </c>
      <c r="AA6" s="33" t="str">
        <f t="shared" si="20"/>
        <v>金</v>
      </c>
      <c r="AB6" s="33" t="str">
        <f t="shared" si="20"/>
        <v>土</v>
      </c>
      <c r="AC6" s="33" t="str">
        <f t="shared" si="20"/>
        <v>日</v>
      </c>
      <c r="AD6" s="33" t="str">
        <f t="shared" si="20"/>
        <v>月</v>
      </c>
      <c r="AE6" s="33" t="str">
        <f t="shared" si="20"/>
        <v>火</v>
      </c>
      <c r="AF6" s="33" t="str">
        <f t="shared" si="20"/>
        <v>水</v>
      </c>
      <c r="AG6" s="33" t="str">
        <f t="shared" si="20"/>
        <v>木</v>
      </c>
      <c r="AH6" s="33" t="str">
        <f t="shared" si="20"/>
        <v>金</v>
      </c>
      <c r="AI6" s="33" t="str">
        <f t="shared" si="20"/>
        <v>土</v>
      </c>
      <c r="AJ6" s="33" t="str">
        <f t="shared" si="20"/>
        <v>日</v>
      </c>
      <c r="AK6" s="33" t="str">
        <f t="shared" si="20"/>
        <v>月</v>
      </c>
      <c r="AL6" s="33" t="str">
        <f t="shared" si="20"/>
        <v>火</v>
      </c>
      <c r="AM6" s="33" t="str">
        <f t="shared" si="20"/>
        <v>水</v>
      </c>
      <c r="AN6" s="33" t="str">
        <f t="shared" si="20"/>
        <v>木</v>
      </c>
      <c r="AO6" s="33" t="str">
        <f t="shared" ref="AO6:BL6" si="21">LEFT(TEXT(AO5,"aaa"),1)</f>
        <v>金</v>
      </c>
      <c r="AP6" s="33" t="str">
        <f t="shared" si="21"/>
        <v>土</v>
      </c>
      <c r="AQ6" s="33" t="str">
        <f t="shared" si="21"/>
        <v>日</v>
      </c>
      <c r="AR6" s="33" t="str">
        <f t="shared" si="21"/>
        <v>月</v>
      </c>
      <c r="AS6" s="33" t="str">
        <f t="shared" si="21"/>
        <v>火</v>
      </c>
      <c r="AT6" s="33" t="str">
        <f t="shared" si="21"/>
        <v>水</v>
      </c>
      <c r="AU6" s="33" t="str">
        <f t="shared" si="21"/>
        <v>木</v>
      </c>
      <c r="AV6" s="33" t="str">
        <f t="shared" si="21"/>
        <v>金</v>
      </c>
      <c r="AW6" s="33" t="str">
        <f t="shared" si="21"/>
        <v>土</v>
      </c>
      <c r="AX6" s="33" t="str">
        <f t="shared" si="21"/>
        <v>日</v>
      </c>
      <c r="AY6" s="33" t="str">
        <f t="shared" si="21"/>
        <v>月</v>
      </c>
      <c r="AZ6" s="33" t="str">
        <f t="shared" si="21"/>
        <v>火</v>
      </c>
      <c r="BA6" s="33" t="str">
        <f t="shared" si="21"/>
        <v>水</v>
      </c>
      <c r="BB6" s="33" t="str">
        <f t="shared" si="21"/>
        <v>木</v>
      </c>
      <c r="BC6" s="33" t="str">
        <f t="shared" si="21"/>
        <v>金</v>
      </c>
      <c r="BD6" s="33" t="str">
        <f t="shared" si="21"/>
        <v>土</v>
      </c>
      <c r="BE6" s="33" t="str">
        <f t="shared" si="21"/>
        <v>日</v>
      </c>
      <c r="BF6" s="33" t="str">
        <f t="shared" si="21"/>
        <v>月</v>
      </c>
      <c r="BG6" s="33" t="str">
        <f t="shared" si="21"/>
        <v>火</v>
      </c>
      <c r="BH6" s="33" t="str">
        <f t="shared" si="21"/>
        <v>水</v>
      </c>
      <c r="BI6" s="33" t="str">
        <f t="shared" si="21"/>
        <v>木</v>
      </c>
      <c r="BJ6" s="33" t="str">
        <f t="shared" si="21"/>
        <v>金</v>
      </c>
      <c r="BK6" s="33" t="str">
        <f t="shared" si="21"/>
        <v>土</v>
      </c>
      <c r="BL6" s="33" t="str">
        <f t="shared" si="21"/>
        <v>日</v>
      </c>
      <c r="BM6" s="33" t="str">
        <f t="shared" ref="BM6:CK6" si="22">LEFT(TEXT(BM5,"aaa"),1)</f>
        <v>月</v>
      </c>
      <c r="BN6" s="33" t="str">
        <f t="shared" si="22"/>
        <v>火</v>
      </c>
      <c r="BO6" s="33" t="str">
        <f t="shared" si="22"/>
        <v>水</v>
      </c>
      <c r="BP6" s="33" t="str">
        <f t="shared" si="22"/>
        <v>木</v>
      </c>
      <c r="BQ6" s="33" t="str">
        <f t="shared" si="22"/>
        <v>金</v>
      </c>
      <c r="BR6" s="33" t="str">
        <f t="shared" si="22"/>
        <v>土</v>
      </c>
      <c r="BS6" s="33" t="str">
        <f t="shared" si="22"/>
        <v>日</v>
      </c>
      <c r="BT6" s="33" t="str">
        <f t="shared" si="22"/>
        <v>月</v>
      </c>
      <c r="BU6" s="33" t="str">
        <f t="shared" si="22"/>
        <v>火</v>
      </c>
      <c r="BV6" s="33" t="str">
        <f t="shared" si="22"/>
        <v>水</v>
      </c>
      <c r="BW6" s="33" t="str">
        <f t="shared" si="22"/>
        <v>木</v>
      </c>
      <c r="BX6" s="33" t="str">
        <f t="shared" si="22"/>
        <v>金</v>
      </c>
      <c r="BY6" s="33" t="str">
        <f t="shared" si="22"/>
        <v>土</v>
      </c>
      <c r="BZ6" s="33" t="str">
        <f t="shared" si="22"/>
        <v>日</v>
      </c>
      <c r="CA6" s="33" t="str">
        <f t="shared" si="22"/>
        <v>月</v>
      </c>
      <c r="CB6" s="33" t="str">
        <f t="shared" si="22"/>
        <v>火</v>
      </c>
      <c r="CC6" s="33" t="str">
        <f t="shared" si="22"/>
        <v>水</v>
      </c>
      <c r="CD6" s="33" t="str">
        <f t="shared" si="22"/>
        <v>木</v>
      </c>
      <c r="CE6" s="33" t="str">
        <f t="shared" si="22"/>
        <v>金</v>
      </c>
      <c r="CF6" s="33" t="str">
        <f t="shared" si="22"/>
        <v>土</v>
      </c>
      <c r="CG6" s="33" t="str">
        <f t="shared" si="22"/>
        <v>日</v>
      </c>
      <c r="CH6" s="33" t="str">
        <f t="shared" si="22"/>
        <v>月</v>
      </c>
      <c r="CI6" s="33" t="str">
        <f t="shared" si="22"/>
        <v>火</v>
      </c>
      <c r="CJ6" s="33" t="str">
        <f t="shared" si="22"/>
        <v>水</v>
      </c>
      <c r="CK6" s="33" t="str">
        <f t="shared" si="22"/>
        <v>木</v>
      </c>
    </row>
    <row r="7" spans="1:89" ht="30" hidden="1" customHeight="1" thickBot="1" x14ac:dyDescent="0.35">
      <c r="A7" s="6" t="s">
        <v>6</v>
      </c>
      <c r="C7" s="8"/>
      <c r="E7"/>
      <c r="H7" t="str">
        <f>IF(OR(ISBLANK(タスク_開始),ISBLANK(タスク_終了)),"",タスク_終了-タスク_開始+1)</f>
        <v/>
      </c>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row>
    <row r="8" spans="1:89" s="1" customFormat="1" ht="30" customHeight="1" thickBot="1" x14ac:dyDescent="0.35">
      <c r="A8" s="7" t="s">
        <v>7</v>
      </c>
      <c r="B8" s="34" t="s">
        <v>37</v>
      </c>
      <c r="C8" s="12"/>
      <c r="D8" s="35"/>
      <c r="E8" s="59"/>
      <c r="F8" s="60"/>
      <c r="G8" s="36"/>
      <c r="H8" s="36" t="str">
        <f t="shared" ref="H8:H75" si="23">IF(OR(ISBLANK(タスク_開始),ISBLANK(タスク_終了)),"",タスク_終了-タスク_開始+1)</f>
        <v/>
      </c>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row>
    <row r="9" spans="1:89" s="1" customFormat="1" ht="30" customHeight="1" thickBot="1" x14ac:dyDescent="0.35">
      <c r="A9" s="7" t="s">
        <v>8</v>
      </c>
      <c r="B9" s="20" t="s">
        <v>50</v>
      </c>
      <c r="C9" s="13"/>
      <c r="D9" s="37"/>
      <c r="E9" s="61">
        <f>プロジェクトの開始</f>
        <v>46314</v>
      </c>
      <c r="F9" s="61">
        <f>J5</f>
        <v>46315</v>
      </c>
      <c r="G9" s="36"/>
      <c r="H9" s="36">
        <f t="shared" si="23"/>
        <v>2</v>
      </c>
      <c r="I9" s="4"/>
      <c r="J9" s="4"/>
      <c r="K9" s="4"/>
      <c r="L9" s="4"/>
      <c r="M9" s="4"/>
      <c r="N9" s="4"/>
      <c r="O9" s="4"/>
      <c r="P9" s="4"/>
      <c r="Q9" s="4"/>
      <c r="R9" s="4"/>
      <c r="S9" s="4"/>
      <c r="T9" s="8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row>
    <row r="10" spans="1:89" s="1" customFormat="1" ht="30" customHeight="1" thickBot="1" x14ac:dyDescent="0.35">
      <c r="A10" s="7" t="s">
        <v>9</v>
      </c>
      <c r="B10" s="20" t="s">
        <v>51</v>
      </c>
      <c r="C10" s="13"/>
      <c r="D10" s="37"/>
      <c r="E10" s="61">
        <f>J5</f>
        <v>46315</v>
      </c>
      <c r="F10" s="61">
        <f>K5</f>
        <v>46316</v>
      </c>
      <c r="G10" s="36"/>
      <c r="H10" s="36">
        <f t="shared" si="23"/>
        <v>2</v>
      </c>
      <c r="I10" s="4"/>
      <c r="J10" s="4"/>
      <c r="K10" s="4"/>
      <c r="L10" s="4"/>
      <c r="M10" s="4"/>
      <c r="N10" s="4"/>
      <c r="O10" s="4"/>
      <c r="P10" s="4"/>
      <c r="Q10" s="4"/>
      <c r="R10" s="4"/>
      <c r="S10" s="4"/>
      <c r="T10" s="4"/>
      <c r="U10" s="5"/>
      <c r="V10" s="5"/>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row>
    <row r="11" spans="1:89" s="1" customFormat="1" ht="30" customHeight="1" thickBot="1" x14ac:dyDescent="0.35">
      <c r="A11" s="6"/>
      <c r="B11" s="20" t="s">
        <v>52</v>
      </c>
      <c r="C11" s="13"/>
      <c r="D11" s="37"/>
      <c r="E11" s="61">
        <f>K5</f>
        <v>46316</v>
      </c>
      <c r="F11" s="61">
        <f>K5</f>
        <v>46316</v>
      </c>
      <c r="G11" s="36"/>
      <c r="H11" s="36">
        <f t="shared" si="23"/>
        <v>1</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row>
    <row r="12" spans="1:89" s="1" customFormat="1" ht="30" customHeight="1" thickBot="1" x14ac:dyDescent="0.35">
      <c r="A12" s="6"/>
      <c r="B12" s="20" t="s">
        <v>41</v>
      </c>
      <c r="C12" s="13"/>
      <c r="D12" s="37"/>
      <c r="E12" s="61">
        <f>K5</f>
        <v>46316</v>
      </c>
      <c r="F12" s="61">
        <f>L5</f>
        <v>46317</v>
      </c>
      <c r="G12" s="36"/>
      <c r="H12" s="36">
        <f t="shared" si="23"/>
        <v>2</v>
      </c>
      <c r="I12" s="4"/>
      <c r="J12" s="4"/>
      <c r="K12" s="4"/>
      <c r="L12" s="4"/>
      <c r="M12" s="4"/>
      <c r="N12" s="4"/>
      <c r="O12" s="4"/>
      <c r="P12" s="4"/>
      <c r="Q12" s="4"/>
      <c r="R12" s="4"/>
      <c r="S12" s="4"/>
      <c r="T12" s="4"/>
      <c r="U12" s="4"/>
      <c r="V12" s="4"/>
      <c r="W12" s="4"/>
      <c r="X12" s="4"/>
      <c r="Y12" s="5"/>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row>
    <row r="13" spans="1:89" s="1" customFormat="1" ht="30" customHeight="1" thickBot="1" x14ac:dyDescent="0.35">
      <c r="A13" s="6"/>
      <c r="B13" s="20" t="s">
        <v>56</v>
      </c>
      <c r="C13" s="13"/>
      <c r="D13" s="37"/>
      <c r="E13" s="61">
        <f>L5</f>
        <v>46317</v>
      </c>
      <c r="F13" s="61">
        <f>L5</f>
        <v>46317</v>
      </c>
      <c r="G13" s="36"/>
      <c r="H13" s="36"/>
      <c r="I13" s="4"/>
      <c r="J13" s="4"/>
      <c r="K13" s="4"/>
      <c r="L13" s="4"/>
      <c r="M13" s="4"/>
      <c r="N13" s="4"/>
      <c r="O13" s="4"/>
      <c r="P13" s="4"/>
      <c r="Q13" s="4"/>
      <c r="R13" s="4"/>
      <c r="S13" s="4"/>
      <c r="T13" s="4"/>
      <c r="U13" s="4"/>
      <c r="V13" s="4"/>
      <c r="W13" s="4"/>
      <c r="X13" s="4"/>
      <c r="Y13" s="5"/>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row>
    <row r="14" spans="1:89" s="1" customFormat="1" ht="30" customHeight="1" thickBot="1" x14ac:dyDescent="0.35">
      <c r="A14" s="6"/>
      <c r="B14" s="20" t="s">
        <v>53</v>
      </c>
      <c r="C14" s="13"/>
      <c r="D14" s="37"/>
      <c r="E14" s="61">
        <f>L5</f>
        <v>46317</v>
      </c>
      <c r="F14" s="61">
        <f>L5</f>
        <v>46317</v>
      </c>
      <c r="G14" s="36"/>
      <c r="H14" s="36">
        <f t="shared" si="23"/>
        <v>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row>
    <row r="15" spans="1:89" s="1" customFormat="1" ht="30" customHeight="1" thickBot="1" x14ac:dyDescent="0.35">
      <c r="A15" s="7" t="s">
        <v>10</v>
      </c>
      <c r="B15" s="38" t="s">
        <v>38</v>
      </c>
      <c r="C15" s="14"/>
      <c r="D15" s="39"/>
      <c r="E15" s="62"/>
      <c r="F15" s="63"/>
      <c r="G15" s="36"/>
      <c r="H15" s="36" t="str">
        <f t="shared" si="23"/>
        <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row>
    <row r="16" spans="1:89" s="1" customFormat="1" ht="30" customHeight="1" thickBot="1" x14ac:dyDescent="0.35">
      <c r="A16" s="7"/>
      <c r="B16" s="21" t="s">
        <v>54</v>
      </c>
      <c r="C16" s="15"/>
      <c r="D16" s="40"/>
      <c r="E16" s="64">
        <f>M5</f>
        <v>46318</v>
      </c>
      <c r="F16" s="64">
        <f>M5</f>
        <v>46318</v>
      </c>
      <c r="G16" s="36"/>
      <c r="H16" s="36">
        <f t="shared" si="23"/>
        <v>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row>
    <row r="17" spans="1:89" s="1" customFormat="1" ht="28.2" customHeight="1" thickBot="1" x14ac:dyDescent="0.35">
      <c r="A17" s="6"/>
      <c r="B17" s="21" t="s">
        <v>55</v>
      </c>
      <c r="C17" s="15"/>
      <c r="D17" s="40"/>
      <c r="E17" s="64">
        <f>M5</f>
        <v>46318</v>
      </c>
      <c r="F17" s="64">
        <f>M5</f>
        <v>46318</v>
      </c>
      <c r="G17" s="36"/>
      <c r="H17" s="36">
        <f t="shared" si="23"/>
        <v>1</v>
      </c>
      <c r="I17" s="4"/>
      <c r="J17" s="4"/>
      <c r="K17" s="4"/>
      <c r="L17" s="4"/>
      <c r="M17" s="4"/>
      <c r="N17" s="4"/>
      <c r="O17" s="4"/>
      <c r="P17" s="4"/>
      <c r="Q17" s="4"/>
      <c r="R17" s="4"/>
      <c r="S17" s="4"/>
      <c r="T17" s="4"/>
      <c r="U17" s="5"/>
      <c r="V17" s="5"/>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row>
    <row r="18" spans="1:89" s="1" customFormat="1" ht="30" customHeight="1" thickBot="1" x14ac:dyDescent="0.35">
      <c r="A18" s="6"/>
      <c r="B18" s="21" t="s">
        <v>58</v>
      </c>
      <c r="C18" s="15"/>
      <c r="D18" s="40"/>
      <c r="E18" s="64">
        <f>M5</f>
        <v>46318</v>
      </c>
      <c r="F18" s="64">
        <f>M5</f>
        <v>46318</v>
      </c>
      <c r="G18" s="36"/>
      <c r="H18" s="36">
        <f t="shared" si="23"/>
        <v>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row>
    <row r="19" spans="1:89" s="1" customFormat="1" ht="30" customHeight="1" thickBot="1" x14ac:dyDescent="0.35">
      <c r="A19" s="6"/>
      <c r="B19" s="21" t="s">
        <v>57</v>
      </c>
      <c r="C19" s="15"/>
      <c r="D19" s="40"/>
      <c r="E19" s="64">
        <f>P5</f>
        <v>46321</v>
      </c>
      <c r="F19" s="64">
        <f>P5</f>
        <v>46321</v>
      </c>
      <c r="G19" s="36"/>
      <c r="H19" s="36"/>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row>
    <row r="20" spans="1:89" s="1" customFormat="1" ht="30" customHeight="1" thickBot="1" x14ac:dyDescent="0.35">
      <c r="A20" s="6"/>
      <c r="B20" s="21" t="s">
        <v>107</v>
      </c>
      <c r="C20" s="15"/>
      <c r="D20" s="40"/>
      <c r="E20" s="64">
        <f>P5</f>
        <v>46321</v>
      </c>
      <c r="F20" s="64">
        <f>P5</f>
        <v>46321</v>
      </c>
      <c r="G20" s="36"/>
      <c r="H20" s="36"/>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row>
    <row r="21" spans="1:89" s="1" customFormat="1" ht="30" customHeight="1" thickBot="1" x14ac:dyDescent="0.35">
      <c r="A21" s="6"/>
      <c r="B21" s="21" t="s">
        <v>59</v>
      </c>
      <c r="C21" s="15"/>
      <c r="D21" s="40"/>
      <c r="E21" s="64">
        <f>P5</f>
        <v>46321</v>
      </c>
      <c r="F21" s="64">
        <f>P5</f>
        <v>46321</v>
      </c>
      <c r="G21" s="36"/>
      <c r="H21" s="36"/>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row>
    <row r="22" spans="1:89" s="1" customFormat="1" ht="30" customHeight="1" thickBot="1" x14ac:dyDescent="0.35">
      <c r="A22" s="6"/>
      <c r="B22" s="21" t="s">
        <v>60</v>
      </c>
      <c r="C22" s="15"/>
      <c r="D22" s="40"/>
      <c r="E22" s="64">
        <f>P5</f>
        <v>46321</v>
      </c>
      <c r="F22" s="64">
        <f>P5</f>
        <v>46321</v>
      </c>
      <c r="G22" s="36"/>
      <c r="H22" s="36"/>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row>
    <row r="23" spans="1:89" s="1" customFormat="1" ht="30" customHeight="1" thickBot="1" x14ac:dyDescent="0.35">
      <c r="A23" s="6"/>
      <c r="B23" s="21" t="s">
        <v>108</v>
      </c>
      <c r="C23" s="15"/>
      <c r="D23" s="40"/>
      <c r="E23" s="64">
        <f>E22</f>
        <v>46321</v>
      </c>
      <c r="F23" s="64">
        <f>E22</f>
        <v>46321</v>
      </c>
      <c r="G23" s="36"/>
      <c r="H23" s="36"/>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row>
    <row r="24" spans="1:89" s="1" customFormat="1" ht="30" customHeight="1" thickBot="1" x14ac:dyDescent="0.35">
      <c r="A24" s="6"/>
      <c r="B24" s="21" t="s">
        <v>81</v>
      </c>
      <c r="C24" s="15"/>
      <c r="D24" s="40"/>
      <c r="E24" s="64">
        <f>P5</f>
        <v>46321</v>
      </c>
      <c r="F24" s="64">
        <f>Q5</f>
        <v>46322</v>
      </c>
      <c r="G24" s="36"/>
      <c r="H24" s="36"/>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row>
    <row r="25" spans="1:89" s="1" customFormat="1" ht="30" customHeight="1" thickBot="1" x14ac:dyDescent="0.35">
      <c r="A25" s="6"/>
      <c r="B25" s="21" t="s">
        <v>82</v>
      </c>
      <c r="C25" s="15"/>
      <c r="D25" s="40"/>
      <c r="E25" s="64">
        <f>Q5</f>
        <v>46322</v>
      </c>
      <c r="F25" s="64">
        <f>Q5</f>
        <v>46322</v>
      </c>
      <c r="G25" s="36"/>
      <c r="H25" s="36"/>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row>
    <row r="26" spans="1:89" s="1" customFormat="1" ht="30" customHeight="1" thickBot="1" x14ac:dyDescent="0.35">
      <c r="A26" s="6"/>
      <c r="B26" s="21" t="s">
        <v>61</v>
      </c>
      <c r="C26" s="15"/>
      <c r="D26" s="40"/>
      <c r="E26" s="64">
        <f>Q5</f>
        <v>46322</v>
      </c>
      <c r="F26" s="64">
        <f>Q5</f>
        <v>46322</v>
      </c>
      <c r="G26" s="36"/>
      <c r="H26" s="36"/>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row>
    <row r="27" spans="1:89" s="1" customFormat="1" ht="30" customHeight="1" thickBot="1" x14ac:dyDescent="0.35">
      <c r="A27" s="6"/>
      <c r="B27" s="21" t="s">
        <v>62</v>
      </c>
      <c r="C27" s="15"/>
      <c r="D27" s="40"/>
      <c r="E27" s="64">
        <f>Q5</f>
        <v>46322</v>
      </c>
      <c r="F27" s="64">
        <f>Q5</f>
        <v>46322</v>
      </c>
      <c r="G27" s="36"/>
      <c r="H27" s="36"/>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row>
    <row r="28" spans="1:89" s="1" customFormat="1" ht="30" customHeight="1" thickBot="1" x14ac:dyDescent="0.35">
      <c r="A28" s="6"/>
      <c r="B28" s="21" t="s">
        <v>67</v>
      </c>
      <c r="C28" s="15"/>
      <c r="D28" s="40"/>
      <c r="E28" s="64">
        <f>Q5</f>
        <v>46322</v>
      </c>
      <c r="F28" s="64">
        <f>R5</f>
        <v>46323</v>
      </c>
      <c r="G28" s="36"/>
      <c r="H28" s="36"/>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row>
    <row r="29" spans="1:89" s="1" customFormat="1" ht="30" customHeight="1" thickBot="1" x14ac:dyDescent="0.35">
      <c r="A29" s="6"/>
      <c r="B29" s="21" t="s">
        <v>63</v>
      </c>
      <c r="C29" s="15"/>
      <c r="D29" s="40"/>
      <c r="E29" s="64">
        <f>R5</f>
        <v>46323</v>
      </c>
      <c r="F29" s="64">
        <f>R5</f>
        <v>46323</v>
      </c>
      <c r="G29" s="36"/>
      <c r="H29" s="36"/>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row>
    <row r="30" spans="1:89" s="1" customFormat="1" ht="30" customHeight="1" thickBot="1" x14ac:dyDescent="0.35">
      <c r="A30" s="6"/>
      <c r="B30" s="21" t="s">
        <v>64</v>
      </c>
      <c r="C30" s="15"/>
      <c r="D30" s="40"/>
      <c r="E30" s="64">
        <f>R5</f>
        <v>46323</v>
      </c>
      <c r="F30" s="64">
        <f>R5</f>
        <v>46323</v>
      </c>
      <c r="G30" s="36"/>
      <c r="H30" s="36"/>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row>
    <row r="31" spans="1:89" s="1" customFormat="1" ht="30" customHeight="1" thickBot="1" x14ac:dyDescent="0.35">
      <c r="A31" s="6"/>
      <c r="B31" s="21" t="s">
        <v>90</v>
      </c>
      <c r="C31" s="15"/>
      <c r="D31" s="40"/>
      <c r="E31" s="64">
        <f>T5</f>
        <v>46325</v>
      </c>
      <c r="F31" s="64">
        <f>W5</f>
        <v>46328</v>
      </c>
      <c r="G31" s="36"/>
      <c r="H31" s="36"/>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row>
    <row r="32" spans="1:89" s="1" customFormat="1" ht="30" customHeight="1" thickBot="1" x14ac:dyDescent="0.35">
      <c r="A32" s="6"/>
      <c r="B32" s="21" t="s">
        <v>96</v>
      </c>
      <c r="C32" s="15"/>
      <c r="D32" s="40"/>
      <c r="E32" s="64">
        <f>F31</f>
        <v>46328</v>
      </c>
      <c r="F32" s="64">
        <f>X5</f>
        <v>46329</v>
      </c>
      <c r="G32" s="36"/>
      <c r="H32" s="36"/>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row>
    <row r="33" spans="1:89" s="1" customFormat="1" ht="30" customHeight="1" thickBot="1" x14ac:dyDescent="0.35">
      <c r="A33" s="6"/>
      <c r="B33" s="21" t="s">
        <v>95</v>
      </c>
      <c r="C33" s="15"/>
      <c r="D33" s="40"/>
      <c r="E33" s="64">
        <f>X5</f>
        <v>46329</v>
      </c>
      <c r="F33" s="64">
        <f>X5</f>
        <v>46329</v>
      </c>
      <c r="G33" s="36"/>
      <c r="H33" s="36"/>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row>
    <row r="34" spans="1:89" s="1" customFormat="1" ht="30" customHeight="1" thickBot="1" x14ac:dyDescent="0.35">
      <c r="A34" s="6"/>
      <c r="B34" s="21" t="s">
        <v>65</v>
      </c>
      <c r="C34" s="15"/>
      <c r="D34" s="40"/>
      <c r="E34" s="64">
        <f>W5</f>
        <v>46328</v>
      </c>
      <c r="F34" s="64">
        <f>W5</f>
        <v>46328</v>
      </c>
      <c r="G34" s="36"/>
      <c r="H34" s="36"/>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row>
    <row r="35" spans="1:89" s="1" customFormat="1" ht="30" customHeight="1" thickBot="1" x14ac:dyDescent="0.35">
      <c r="A35" s="6"/>
      <c r="B35" s="21" t="s">
        <v>66</v>
      </c>
      <c r="C35" s="15"/>
      <c r="D35" s="40"/>
      <c r="E35" s="64">
        <f>W5</f>
        <v>46328</v>
      </c>
      <c r="F35" s="64">
        <f>X5</f>
        <v>46329</v>
      </c>
      <c r="G35" s="36"/>
      <c r="H35" s="36"/>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row>
    <row r="36" spans="1:89" s="1" customFormat="1" ht="30" customHeight="1" thickBot="1" x14ac:dyDescent="0.35">
      <c r="A36" s="6"/>
      <c r="B36" s="21" t="s">
        <v>68</v>
      </c>
      <c r="C36" s="15"/>
      <c r="D36" s="40"/>
      <c r="E36" s="64">
        <f>X5</f>
        <v>46329</v>
      </c>
      <c r="F36" s="64">
        <f>X5</f>
        <v>46329</v>
      </c>
      <c r="G36" s="36"/>
      <c r="H36" s="36"/>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row>
    <row r="37" spans="1:89" s="1" customFormat="1" ht="30" customHeight="1" thickBot="1" x14ac:dyDescent="0.35">
      <c r="A37" s="6"/>
      <c r="B37" s="21" t="s">
        <v>91</v>
      </c>
      <c r="C37" s="15"/>
      <c r="D37" s="40"/>
      <c r="E37" s="64">
        <f>E34+1</f>
        <v>46329</v>
      </c>
      <c r="F37" s="64">
        <f>X5</f>
        <v>46329</v>
      </c>
      <c r="G37" s="36"/>
      <c r="H37" s="36"/>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row>
    <row r="38" spans="1:89" s="1" customFormat="1" ht="30" customHeight="1" thickBot="1" x14ac:dyDescent="0.35">
      <c r="A38" s="6"/>
      <c r="B38" s="21" t="s">
        <v>92</v>
      </c>
      <c r="C38" s="15"/>
      <c r="D38" s="40"/>
      <c r="E38" s="64">
        <f>X5</f>
        <v>46329</v>
      </c>
      <c r="F38" s="64">
        <f>X5</f>
        <v>46329</v>
      </c>
      <c r="G38" s="36"/>
      <c r="H38" s="36"/>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row>
    <row r="39" spans="1:89" s="1" customFormat="1" ht="30" customHeight="1" thickBot="1" x14ac:dyDescent="0.35">
      <c r="A39" s="6"/>
      <c r="B39" s="21" t="s">
        <v>96</v>
      </c>
      <c r="C39" s="15"/>
      <c r="D39" s="40"/>
      <c r="E39" s="64">
        <f>X5</f>
        <v>46329</v>
      </c>
      <c r="F39" s="64">
        <f>X5</f>
        <v>46329</v>
      </c>
      <c r="G39" s="36"/>
      <c r="H39" s="36"/>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row>
    <row r="40" spans="1:89" s="1" customFormat="1" ht="30" customHeight="1" thickBot="1" x14ac:dyDescent="0.35">
      <c r="A40" s="6"/>
      <c r="B40" s="21" t="s">
        <v>95</v>
      </c>
      <c r="C40" s="15"/>
      <c r="D40" s="40"/>
      <c r="E40" s="64">
        <f>X5</f>
        <v>46329</v>
      </c>
      <c r="F40" s="64">
        <f>Y5</f>
        <v>46330</v>
      </c>
      <c r="G40" s="36"/>
      <c r="H40" s="36"/>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row>
    <row r="41" spans="1:89" s="1" customFormat="1" ht="30" customHeight="1" thickBot="1" x14ac:dyDescent="0.35">
      <c r="A41" s="6"/>
      <c r="B41" s="21" t="s">
        <v>69</v>
      </c>
      <c r="C41" s="15"/>
      <c r="D41" s="40"/>
      <c r="E41" s="64">
        <f>Y5</f>
        <v>46330</v>
      </c>
      <c r="F41" s="64">
        <f>Y5</f>
        <v>46330</v>
      </c>
      <c r="G41" s="36"/>
      <c r="H41" s="36"/>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row>
    <row r="42" spans="1:89" s="1" customFormat="1" ht="30" customHeight="1" thickBot="1" x14ac:dyDescent="0.35">
      <c r="A42" s="6"/>
      <c r="B42" s="21" t="s">
        <v>70</v>
      </c>
      <c r="C42" s="15"/>
      <c r="D42" s="40"/>
      <c r="E42" s="64">
        <f>Y5</f>
        <v>46330</v>
      </c>
      <c r="F42" s="64">
        <f>Y5</f>
        <v>46330</v>
      </c>
      <c r="G42" s="36"/>
      <c r="H42" s="36"/>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row>
    <row r="43" spans="1:89" s="1" customFormat="1" ht="30" customHeight="1" thickBot="1" x14ac:dyDescent="0.35">
      <c r="A43" s="6"/>
      <c r="B43" s="21" t="s">
        <v>71</v>
      </c>
      <c r="C43" s="15"/>
      <c r="D43" s="40"/>
      <c r="E43" s="64">
        <f>E37+1</f>
        <v>46330</v>
      </c>
      <c r="F43" s="64">
        <f>Y5</f>
        <v>46330</v>
      </c>
      <c r="G43" s="36"/>
      <c r="H43" s="36"/>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row>
    <row r="44" spans="1:89" s="1" customFormat="1" ht="30" customHeight="1" thickBot="1" x14ac:dyDescent="0.35">
      <c r="A44" s="6"/>
      <c r="B44" s="21" t="s">
        <v>93</v>
      </c>
      <c r="C44" s="15"/>
      <c r="D44" s="40"/>
      <c r="E44" s="64">
        <f>Y5</f>
        <v>46330</v>
      </c>
      <c r="F44" s="64">
        <f>Y5</f>
        <v>46330</v>
      </c>
      <c r="G44" s="36"/>
      <c r="H44" s="36"/>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row>
    <row r="45" spans="1:89" s="1" customFormat="1" ht="30" customHeight="1" thickBot="1" x14ac:dyDescent="0.35">
      <c r="A45" s="6"/>
      <c r="B45" s="21" t="s">
        <v>94</v>
      </c>
      <c r="C45" s="15"/>
      <c r="D45" s="40"/>
      <c r="E45" s="64">
        <f>Y5</f>
        <v>46330</v>
      </c>
      <c r="F45" s="64">
        <f>Y5</f>
        <v>46330</v>
      </c>
      <c r="G45" s="36"/>
      <c r="H45" s="36"/>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row>
    <row r="46" spans="1:89" s="1" customFormat="1" ht="30" customHeight="1" thickBot="1" x14ac:dyDescent="0.35">
      <c r="A46" s="6"/>
      <c r="B46" s="21" t="s">
        <v>96</v>
      </c>
      <c r="C46" s="15"/>
      <c r="D46" s="40"/>
      <c r="E46" s="64">
        <f>Y5</f>
        <v>46330</v>
      </c>
      <c r="F46" s="64">
        <f>Y5</f>
        <v>46330</v>
      </c>
      <c r="G46" s="36"/>
      <c r="H46" s="36"/>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row>
    <row r="47" spans="1:89" s="1" customFormat="1" ht="30" customHeight="1" thickBot="1" x14ac:dyDescent="0.35">
      <c r="A47" s="6"/>
      <c r="B47" s="21" t="s">
        <v>95</v>
      </c>
      <c r="C47" s="15"/>
      <c r="D47" s="40"/>
      <c r="E47" s="64">
        <f>AA5</f>
        <v>46332</v>
      </c>
      <c r="F47" s="64">
        <f>AA5</f>
        <v>46332</v>
      </c>
      <c r="G47" s="36"/>
      <c r="H47" s="36"/>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row>
    <row r="48" spans="1:89" s="1" customFormat="1" ht="30" customHeight="1" thickBot="1" x14ac:dyDescent="0.35">
      <c r="A48" s="6"/>
      <c r="B48" s="21" t="s">
        <v>72</v>
      </c>
      <c r="C48" s="15"/>
      <c r="D48" s="40"/>
      <c r="E48" s="64">
        <f>AA5</f>
        <v>46332</v>
      </c>
      <c r="F48" s="64">
        <f>AA5</f>
        <v>46332</v>
      </c>
      <c r="G48" s="36"/>
      <c r="H48" s="36"/>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row>
    <row r="49" spans="1:89" s="1" customFormat="1" ht="30" customHeight="1" thickBot="1" x14ac:dyDescent="0.35">
      <c r="A49" s="6"/>
      <c r="B49" s="21" t="s">
        <v>73</v>
      </c>
      <c r="C49" s="15"/>
      <c r="D49" s="40"/>
      <c r="E49" s="64">
        <f>AA5</f>
        <v>46332</v>
      </c>
      <c r="F49" s="64">
        <f>AA5</f>
        <v>46332</v>
      </c>
      <c r="G49" s="36"/>
      <c r="H49" s="36"/>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row>
    <row r="50" spans="1:89" s="1" customFormat="1" ht="30" customHeight="1" thickBot="1" x14ac:dyDescent="0.35">
      <c r="A50" s="6"/>
      <c r="B50" s="21" t="s">
        <v>74</v>
      </c>
      <c r="C50" s="15"/>
      <c r="D50" s="40"/>
      <c r="E50" s="64">
        <f>AA5</f>
        <v>46332</v>
      </c>
      <c r="F50" s="64">
        <f>AA5</f>
        <v>46332</v>
      </c>
      <c r="G50" s="36"/>
      <c r="H50" s="36"/>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row>
    <row r="51" spans="1:89" s="1" customFormat="1" ht="30" customHeight="1" thickBot="1" x14ac:dyDescent="0.35">
      <c r="A51" s="6"/>
      <c r="B51" s="21" t="s">
        <v>97</v>
      </c>
      <c r="C51" s="15"/>
      <c r="D51" s="40"/>
      <c r="E51" s="64">
        <f>AA5</f>
        <v>46332</v>
      </c>
      <c r="F51" s="64">
        <f>AA5</f>
        <v>46332</v>
      </c>
      <c r="G51" s="36"/>
      <c r="H51" s="36"/>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row>
    <row r="52" spans="1:89" s="1" customFormat="1" ht="30" customHeight="1" thickBot="1" x14ac:dyDescent="0.35">
      <c r="A52" s="6"/>
      <c r="B52" s="21" t="s">
        <v>98</v>
      </c>
      <c r="C52" s="15"/>
      <c r="D52" s="40"/>
      <c r="E52" s="64">
        <f>AA5</f>
        <v>46332</v>
      </c>
      <c r="F52" s="64">
        <f>AA5</f>
        <v>46332</v>
      </c>
      <c r="G52" s="36"/>
      <c r="H52" s="36"/>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row>
    <row r="53" spans="1:89" s="1" customFormat="1" ht="30" customHeight="1" thickBot="1" x14ac:dyDescent="0.35">
      <c r="A53" s="6"/>
      <c r="B53" s="21" t="s">
        <v>96</v>
      </c>
      <c r="C53" s="15"/>
      <c r="D53" s="40"/>
      <c r="E53" s="64">
        <f>AA5</f>
        <v>46332</v>
      </c>
      <c r="F53" s="64">
        <f>AA5</f>
        <v>46332</v>
      </c>
      <c r="G53" s="36"/>
      <c r="H53" s="36"/>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row>
    <row r="54" spans="1:89" s="1" customFormat="1" ht="30" customHeight="1" thickBot="1" x14ac:dyDescent="0.35">
      <c r="A54" s="6"/>
      <c r="B54" s="21" t="s">
        <v>95</v>
      </c>
      <c r="C54" s="15"/>
      <c r="D54" s="40"/>
      <c r="E54" s="64">
        <f>AD5</f>
        <v>46335</v>
      </c>
      <c r="F54" s="64">
        <f>AD5</f>
        <v>46335</v>
      </c>
      <c r="G54" s="36"/>
      <c r="H54" s="36"/>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row>
    <row r="55" spans="1:89" s="1" customFormat="1" ht="30" customHeight="1" thickBot="1" x14ac:dyDescent="0.35">
      <c r="A55" s="6"/>
      <c r="B55" s="21" t="s">
        <v>75</v>
      </c>
      <c r="C55" s="15"/>
      <c r="D55" s="40"/>
      <c r="E55" s="64">
        <f>AD5</f>
        <v>46335</v>
      </c>
      <c r="F55" s="64">
        <f>AD5</f>
        <v>46335</v>
      </c>
      <c r="G55" s="36"/>
      <c r="H55" s="36"/>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row>
    <row r="56" spans="1:89" s="1" customFormat="1" ht="30" customHeight="1" thickBot="1" x14ac:dyDescent="0.35">
      <c r="A56" s="6"/>
      <c r="B56" s="21" t="s">
        <v>76</v>
      </c>
      <c r="C56" s="15"/>
      <c r="D56" s="40"/>
      <c r="E56" s="64">
        <f>AD5</f>
        <v>46335</v>
      </c>
      <c r="F56" s="64">
        <f>AF5</f>
        <v>46337</v>
      </c>
      <c r="G56" s="36"/>
      <c r="H56" s="36"/>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row>
    <row r="57" spans="1:89" s="1" customFormat="1" ht="30" customHeight="1" thickBot="1" x14ac:dyDescent="0.35">
      <c r="A57" s="6"/>
      <c r="B57" s="21" t="s">
        <v>77</v>
      </c>
      <c r="C57" s="15"/>
      <c r="D57" s="40"/>
      <c r="E57" s="64">
        <f>AF5</f>
        <v>46337</v>
      </c>
      <c r="F57" s="64">
        <f>AF5</f>
        <v>46337</v>
      </c>
      <c r="G57" s="36"/>
      <c r="H57" s="36"/>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row>
    <row r="58" spans="1:89" s="1" customFormat="1" ht="30" customHeight="1" thickBot="1" x14ac:dyDescent="0.35">
      <c r="A58" s="6"/>
      <c r="B58" s="21" t="s">
        <v>99</v>
      </c>
      <c r="C58" s="15"/>
      <c r="D58" s="40"/>
      <c r="E58" s="64">
        <f>AF5</f>
        <v>46337</v>
      </c>
      <c r="F58" s="64">
        <f>AF5</f>
        <v>46337</v>
      </c>
      <c r="G58" s="36"/>
      <c r="H58" s="36"/>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row>
    <row r="59" spans="1:89" s="1" customFormat="1" ht="30" customHeight="1" thickBot="1" x14ac:dyDescent="0.35">
      <c r="A59" s="6"/>
      <c r="B59" s="21" t="s">
        <v>100</v>
      </c>
      <c r="C59" s="15"/>
      <c r="D59" s="40"/>
      <c r="E59" s="64">
        <f>AF5</f>
        <v>46337</v>
      </c>
      <c r="F59" s="64">
        <f>AF5</f>
        <v>46337</v>
      </c>
      <c r="G59" s="36"/>
      <c r="H59" s="36"/>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row>
    <row r="60" spans="1:89" s="1" customFormat="1" ht="30" customHeight="1" thickBot="1" x14ac:dyDescent="0.35">
      <c r="A60" s="6"/>
      <c r="B60" s="21" t="s">
        <v>96</v>
      </c>
      <c r="C60" s="15"/>
      <c r="D60" s="40"/>
      <c r="E60" s="64">
        <f>AF5</f>
        <v>46337</v>
      </c>
      <c r="F60" s="64">
        <f>AF5</f>
        <v>46337</v>
      </c>
      <c r="G60" s="36"/>
      <c r="H60" s="36"/>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row>
    <row r="61" spans="1:89" s="1" customFormat="1" ht="30" customHeight="1" thickBot="1" x14ac:dyDescent="0.35">
      <c r="A61" s="6" t="s">
        <v>106</v>
      </c>
      <c r="B61" s="21" t="s">
        <v>95</v>
      </c>
      <c r="C61" s="15"/>
      <c r="D61" s="40"/>
      <c r="E61" s="64">
        <f>AH5</f>
        <v>46339</v>
      </c>
      <c r="F61" s="64">
        <f>AH5</f>
        <v>46339</v>
      </c>
      <c r="G61" s="36"/>
      <c r="H61" s="36"/>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row>
    <row r="62" spans="1:89" s="1" customFormat="1" ht="30" customHeight="1" thickBot="1" x14ac:dyDescent="0.35">
      <c r="A62" s="6"/>
      <c r="B62" s="21" t="s">
        <v>78</v>
      </c>
      <c r="C62" s="15"/>
      <c r="D62" s="40"/>
      <c r="E62" s="64">
        <f>AH5</f>
        <v>46339</v>
      </c>
      <c r="F62" s="64">
        <f>AH5</f>
        <v>46339</v>
      </c>
      <c r="G62" s="36"/>
      <c r="H62" s="36"/>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row>
    <row r="63" spans="1:89" s="1" customFormat="1" ht="30" customHeight="1" thickBot="1" x14ac:dyDescent="0.35">
      <c r="A63" s="6"/>
      <c r="B63" s="21" t="s">
        <v>103</v>
      </c>
      <c r="C63" s="15"/>
      <c r="D63" s="40"/>
      <c r="E63" s="64">
        <f>AH5</f>
        <v>46339</v>
      </c>
      <c r="F63" s="64">
        <f>AO5</f>
        <v>46346</v>
      </c>
      <c r="G63" s="36"/>
      <c r="H63" s="36"/>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row>
    <row r="64" spans="1:89" s="1" customFormat="1" ht="30" customHeight="1" thickBot="1" x14ac:dyDescent="0.35">
      <c r="A64" s="6"/>
      <c r="B64" s="21" t="s">
        <v>80</v>
      </c>
      <c r="C64" s="15"/>
      <c r="D64" s="40"/>
      <c r="E64" s="64">
        <f>AO5</f>
        <v>46346</v>
      </c>
      <c r="F64" s="64">
        <f>AO5</f>
        <v>46346</v>
      </c>
      <c r="G64" s="36"/>
      <c r="H64" s="36"/>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row>
    <row r="65" spans="1:89" s="1" customFormat="1" ht="30" customHeight="1" thickBot="1" x14ac:dyDescent="0.35">
      <c r="A65" s="6"/>
      <c r="B65" s="21" t="s">
        <v>84</v>
      </c>
      <c r="C65" s="15"/>
      <c r="D65" s="40"/>
      <c r="E65" s="64">
        <f>E64</f>
        <v>46346</v>
      </c>
      <c r="F65" s="64">
        <f>AO5</f>
        <v>46346</v>
      </c>
      <c r="G65" s="36"/>
      <c r="H65" s="36"/>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row>
    <row r="66" spans="1:89" s="1" customFormat="1" ht="30" customHeight="1" thickBot="1" x14ac:dyDescent="0.35">
      <c r="A66" s="6"/>
      <c r="B66" s="21" t="s">
        <v>86</v>
      </c>
      <c r="C66" s="15"/>
      <c r="D66" s="40"/>
      <c r="E66" s="64">
        <f>E65</f>
        <v>46346</v>
      </c>
      <c r="F66" s="64">
        <f>F65</f>
        <v>46346</v>
      </c>
      <c r="G66" s="36"/>
      <c r="H66" s="36"/>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row>
    <row r="67" spans="1:89" s="1" customFormat="1" ht="30" customHeight="1" thickBot="1" x14ac:dyDescent="0.35">
      <c r="A67" s="6"/>
      <c r="B67" s="21" t="s">
        <v>85</v>
      </c>
      <c r="C67" s="15"/>
      <c r="D67" s="40"/>
      <c r="E67" s="64">
        <f>AR5</f>
        <v>46349</v>
      </c>
      <c r="F67" s="64">
        <f>AR5</f>
        <v>46349</v>
      </c>
      <c r="G67" s="36"/>
      <c r="H67" s="36"/>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row>
    <row r="68" spans="1:89" s="1" customFormat="1" ht="30" customHeight="1" thickBot="1" x14ac:dyDescent="0.35">
      <c r="A68" s="6"/>
      <c r="B68" s="21" t="s">
        <v>101</v>
      </c>
      <c r="C68" s="15"/>
      <c r="D68" s="40"/>
      <c r="E68" s="64">
        <f>F67</f>
        <v>46349</v>
      </c>
      <c r="F68" s="64">
        <f>AS5</f>
        <v>46350</v>
      </c>
      <c r="G68" s="36"/>
      <c r="H68" s="36"/>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row>
    <row r="69" spans="1:89" s="1" customFormat="1" ht="30" customHeight="1" thickBot="1" x14ac:dyDescent="0.35">
      <c r="A69" s="6"/>
      <c r="B69" s="21" t="s">
        <v>102</v>
      </c>
      <c r="C69" s="15"/>
      <c r="D69" s="40"/>
      <c r="E69" s="64">
        <f>F68</f>
        <v>46350</v>
      </c>
      <c r="F69" s="64">
        <f>F68</f>
        <v>46350</v>
      </c>
      <c r="G69" s="36"/>
      <c r="H69" s="36"/>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row>
    <row r="70" spans="1:89" s="1" customFormat="1" ht="30" customHeight="1" thickBot="1" x14ac:dyDescent="0.35">
      <c r="A70" s="6" t="s">
        <v>11</v>
      </c>
      <c r="B70" s="41" t="s">
        <v>43</v>
      </c>
      <c r="C70" s="16"/>
      <c r="D70" s="42"/>
      <c r="E70" s="65"/>
      <c r="F70" s="66"/>
      <c r="G70" s="36"/>
      <c r="H70" s="36" t="str">
        <f t="shared" si="23"/>
        <v/>
      </c>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row>
    <row r="71" spans="1:89" s="1" customFormat="1" ht="30" customHeight="1" thickBot="1" x14ac:dyDescent="0.35">
      <c r="A71" s="6"/>
      <c r="B71" s="22" t="s">
        <v>40</v>
      </c>
      <c r="C71" s="17"/>
      <c r="D71" s="43"/>
      <c r="E71" s="67">
        <f>F69</f>
        <v>46350</v>
      </c>
      <c r="F71" s="67">
        <f>F69</f>
        <v>46350</v>
      </c>
      <c r="G71" s="36"/>
      <c r="H71" s="36">
        <f t="shared" si="23"/>
        <v>1</v>
      </c>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row>
    <row r="72" spans="1:89" s="1" customFormat="1" ht="30" customHeight="1" thickBot="1" x14ac:dyDescent="0.35">
      <c r="A72" s="6"/>
      <c r="B72" s="22" t="s">
        <v>44</v>
      </c>
      <c r="C72" s="17"/>
      <c r="D72" s="43"/>
      <c r="E72" s="67">
        <f>F71</f>
        <v>46350</v>
      </c>
      <c r="F72" s="67">
        <f>F71</f>
        <v>46350</v>
      </c>
      <c r="G72" s="36"/>
      <c r="H72" s="36">
        <f t="shared" si="23"/>
        <v>1</v>
      </c>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row>
    <row r="73" spans="1:89" s="1" customFormat="1" ht="30" customHeight="1" thickBot="1" x14ac:dyDescent="0.35">
      <c r="A73" s="6"/>
      <c r="B73" s="22" t="s">
        <v>104</v>
      </c>
      <c r="C73" s="17"/>
      <c r="D73" s="43"/>
      <c r="E73" s="67">
        <f>E72</f>
        <v>46350</v>
      </c>
      <c r="F73" s="67">
        <f>F72</f>
        <v>46350</v>
      </c>
      <c r="G73" s="36"/>
      <c r="H73" s="36">
        <f t="shared" si="23"/>
        <v>1</v>
      </c>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row>
    <row r="74" spans="1:89" s="1" customFormat="1" ht="30" customHeight="1" thickBot="1" x14ac:dyDescent="0.35">
      <c r="A74" s="6"/>
      <c r="B74" s="22" t="s">
        <v>79</v>
      </c>
      <c r="C74" s="17"/>
      <c r="D74" s="43"/>
      <c r="E74" s="67">
        <f>E73</f>
        <v>46350</v>
      </c>
      <c r="F74" s="67">
        <f>F73</f>
        <v>46350</v>
      </c>
      <c r="G74" s="36"/>
      <c r="H74" s="36">
        <f t="shared" si="23"/>
        <v>1</v>
      </c>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row>
    <row r="75" spans="1:89" s="1" customFormat="1" ht="30" customHeight="1" thickBot="1" x14ac:dyDescent="0.35">
      <c r="A75" s="6" t="s">
        <v>11</v>
      </c>
      <c r="B75" s="44" t="s">
        <v>45</v>
      </c>
      <c r="C75" s="18"/>
      <c r="D75" s="45"/>
      <c r="E75" s="68"/>
      <c r="F75" s="69"/>
      <c r="G75" s="36"/>
      <c r="H75" s="36" t="str">
        <f t="shared" si="23"/>
        <v/>
      </c>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row>
    <row r="76" spans="1:89" s="1" customFormat="1" ht="30" customHeight="1" thickBot="1" x14ac:dyDescent="0.35">
      <c r="A76" s="6"/>
      <c r="B76" s="23" t="s">
        <v>47</v>
      </c>
      <c r="C76" s="19"/>
      <c r="D76" s="46"/>
      <c r="E76" s="70">
        <f>AT5</f>
        <v>46351</v>
      </c>
      <c r="F76" s="70">
        <f>AT5</f>
        <v>46351</v>
      </c>
      <c r="G76" s="36"/>
      <c r="H76" s="36"/>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row>
    <row r="77" spans="1:89" s="1" customFormat="1" ht="30" customHeight="1" thickBot="1" x14ac:dyDescent="0.35">
      <c r="A77" s="6"/>
      <c r="B77" s="23" t="s">
        <v>87</v>
      </c>
      <c r="C77" s="19"/>
      <c r="D77" s="46"/>
      <c r="E77" s="70">
        <f>E76</f>
        <v>46351</v>
      </c>
      <c r="F77" s="70">
        <f>AV5</f>
        <v>46353</v>
      </c>
      <c r="G77" s="36"/>
      <c r="H77" s="36"/>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row>
    <row r="78" spans="1:89" s="1" customFormat="1" ht="30" customHeight="1" thickBot="1" x14ac:dyDescent="0.35">
      <c r="A78" s="6"/>
      <c r="B78" s="23" t="s">
        <v>105</v>
      </c>
      <c r="C78" s="19"/>
      <c r="D78" s="46"/>
      <c r="E78" s="70">
        <f>AV5</f>
        <v>46353</v>
      </c>
      <c r="F78" s="70">
        <f>AV5</f>
        <v>46353</v>
      </c>
      <c r="G78" s="36"/>
      <c r="H78" s="36"/>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row>
    <row r="79" spans="1:89" s="1" customFormat="1" ht="30" customHeight="1" thickBot="1" x14ac:dyDescent="0.35">
      <c r="A79" s="6"/>
      <c r="B79" s="23" t="s">
        <v>109</v>
      </c>
      <c r="C79" s="19"/>
      <c r="D79" s="46"/>
      <c r="E79" s="70">
        <f>E89</f>
        <v>46367</v>
      </c>
      <c r="F79" s="70">
        <f>E79</f>
        <v>46367</v>
      </c>
      <c r="G79" s="36"/>
      <c r="H79" s="36"/>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row>
    <row r="80" spans="1:89" s="1" customFormat="1" ht="30" customHeight="1" thickBot="1" x14ac:dyDescent="0.35">
      <c r="A80" s="6"/>
      <c r="B80" s="23" t="s">
        <v>110</v>
      </c>
      <c r="C80" s="19"/>
      <c r="D80" s="46"/>
      <c r="E80" s="70">
        <f>E79</f>
        <v>46367</v>
      </c>
      <c r="F80" s="70">
        <f>BN5</f>
        <v>46371</v>
      </c>
      <c r="G80" s="36"/>
      <c r="H80" s="36"/>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row>
    <row r="81" spans="1:89" s="82" customFormat="1" ht="30" customHeight="1" thickBot="1" x14ac:dyDescent="0.35">
      <c r="A81" s="79"/>
      <c r="B81" s="83" t="s">
        <v>46</v>
      </c>
      <c r="C81" s="75"/>
      <c r="D81" s="76"/>
      <c r="E81" s="77"/>
      <c r="F81" s="78"/>
      <c r="G81" s="80"/>
      <c r="H81" s="80" t="str">
        <f t="shared" ref="H81:H89" si="24">IF(OR(ISBLANK(タスク_開始),ISBLANK(タスク_終了)),"",タスク_終了-タスク_開始+1)</f>
        <v/>
      </c>
      <c r="I81" s="81"/>
      <c r="J81" s="81"/>
      <c r="K81" s="81"/>
      <c r="L81" s="81"/>
      <c r="M81" s="81"/>
      <c r="N81" s="81"/>
      <c r="O81" s="81"/>
      <c r="P81" s="81"/>
      <c r="Q81" s="81"/>
      <c r="R81" s="81"/>
      <c r="S81" s="81"/>
      <c r="T81" s="81"/>
      <c r="U81" s="81"/>
      <c r="V81" s="81"/>
      <c r="W81" s="81"/>
      <c r="X81" s="81"/>
      <c r="Y81" s="81"/>
      <c r="Z81" s="81"/>
      <c r="AA81" s="81"/>
      <c r="AB81" s="81"/>
      <c r="AC81" s="81"/>
      <c r="AD81" s="81"/>
      <c r="AE81" s="81"/>
      <c r="AF81" s="81"/>
      <c r="AG81" s="81"/>
      <c r="AH81" s="81"/>
      <c r="AI81" s="81"/>
      <c r="AJ81" s="81"/>
      <c r="AK81" s="81"/>
      <c r="AL81" s="81"/>
      <c r="AM81" s="81"/>
      <c r="AN81" s="81"/>
      <c r="AO81" s="81"/>
      <c r="AP81" s="81"/>
      <c r="AQ81" s="81"/>
      <c r="AR81" s="81"/>
      <c r="AS81" s="81"/>
      <c r="AT81" s="81"/>
      <c r="AU81" s="81"/>
      <c r="AV81" s="81"/>
      <c r="AW81" s="81"/>
      <c r="AX81" s="81"/>
      <c r="AY81" s="81"/>
      <c r="AZ81" s="81"/>
      <c r="BA81" s="81"/>
      <c r="BB81" s="81"/>
      <c r="BC81" s="81"/>
      <c r="BD81" s="81"/>
      <c r="BE81" s="81"/>
      <c r="BF81" s="81"/>
      <c r="BG81" s="81"/>
      <c r="BH81" s="81"/>
      <c r="BI81" s="81"/>
      <c r="BJ81" s="81"/>
      <c r="BK81" s="81"/>
      <c r="BL81" s="81"/>
      <c r="BM81" s="81"/>
      <c r="BN81" s="81"/>
      <c r="BO81" s="81"/>
      <c r="BP81" s="81"/>
      <c r="BQ81" s="81"/>
      <c r="BR81" s="81"/>
      <c r="BS81" s="81"/>
      <c r="BT81" s="81"/>
      <c r="BU81" s="81"/>
      <c r="BV81" s="81"/>
      <c r="BW81" s="81"/>
      <c r="BX81" s="81"/>
      <c r="BY81" s="81"/>
      <c r="BZ81" s="81"/>
      <c r="CA81" s="81"/>
      <c r="CB81" s="81"/>
      <c r="CC81" s="81"/>
      <c r="CD81" s="81"/>
      <c r="CE81" s="81"/>
      <c r="CF81" s="81"/>
      <c r="CG81" s="81"/>
      <c r="CH81" s="81"/>
      <c r="CI81" s="81"/>
      <c r="CJ81" s="81"/>
      <c r="CK81" s="81"/>
    </row>
    <row r="82" spans="1:89" s="82" customFormat="1" ht="30" customHeight="1" thickBot="1" x14ac:dyDescent="0.35">
      <c r="A82" s="79"/>
      <c r="B82" s="74" t="s">
        <v>39</v>
      </c>
      <c r="C82" s="75"/>
      <c r="D82" s="76"/>
      <c r="E82" s="77">
        <f>F78</f>
        <v>46353</v>
      </c>
      <c r="F82" s="78">
        <f>F78</f>
        <v>46353</v>
      </c>
      <c r="G82" s="80"/>
      <c r="H82" s="80">
        <f t="shared" si="24"/>
        <v>1</v>
      </c>
      <c r="I82" s="81"/>
      <c r="J82" s="81"/>
      <c r="K82" s="81"/>
      <c r="L82" s="81"/>
      <c r="M82" s="81"/>
      <c r="N82" s="81"/>
      <c r="O82" s="81"/>
      <c r="P82" s="81"/>
      <c r="Q82" s="81"/>
      <c r="R82" s="81"/>
      <c r="S82" s="81"/>
      <c r="T82" s="81"/>
      <c r="U82" s="81"/>
      <c r="V82" s="81"/>
      <c r="W82" s="81"/>
      <c r="X82" s="81"/>
      <c r="Y82" s="81"/>
      <c r="Z82" s="81"/>
      <c r="AA82" s="81"/>
      <c r="AB82" s="81"/>
      <c r="AC82" s="81"/>
      <c r="AD82" s="81"/>
      <c r="AE82" s="81"/>
      <c r="AF82" s="81"/>
      <c r="AG82" s="81"/>
      <c r="AH82" s="81"/>
      <c r="AI82" s="81"/>
      <c r="AJ82" s="81"/>
      <c r="AK82" s="81"/>
      <c r="AL82" s="81"/>
      <c r="AM82" s="81"/>
      <c r="AN82" s="81"/>
      <c r="AO82" s="81"/>
      <c r="AP82" s="81"/>
      <c r="AQ82" s="81"/>
      <c r="AR82" s="81"/>
      <c r="AS82" s="81"/>
      <c r="AT82" s="81"/>
      <c r="AU82" s="81"/>
      <c r="AV82" s="81"/>
      <c r="AW82" s="81"/>
      <c r="AX82" s="81"/>
      <c r="AY82" s="81"/>
      <c r="AZ82" s="81"/>
      <c r="BA82" s="81"/>
      <c r="BB82" s="81"/>
      <c r="BC82" s="81"/>
      <c r="BD82" s="81"/>
      <c r="BE82" s="81"/>
      <c r="BF82" s="81"/>
      <c r="BG82" s="81"/>
      <c r="BH82" s="81"/>
      <c r="BI82" s="81"/>
      <c r="BJ82" s="81"/>
      <c r="BK82" s="81"/>
      <c r="BL82" s="81"/>
      <c r="BM82" s="81"/>
      <c r="BN82" s="81"/>
      <c r="BO82" s="81"/>
      <c r="BP82" s="81"/>
      <c r="BQ82" s="81"/>
      <c r="BR82" s="81"/>
      <c r="BS82" s="81"/>
      <c r="BT82" s="81"/>
      <c r="BU82" s="81"/>
      <c r="BV82" s="81"/>
      <c r="BW82" s="81"/>
      <c r="BX82" s="81"/>
      <c r="BY82" s="81"/>
      <c r="BZ82" s="81"/>
      <c r="CA82" s="81"/>
      <c r="CB82" s="81"/>
      <c r="CC82" s="81"/>
      <c r="CD82" s="81"/>
      <c r="CE82" s="81"/>
      <c r="CF82" s="81"/>
      <c r="CG82" s="81"/>
      <c r="CH82" s="81"/>
      <c r="CI82" s="81"/>
      <c r="CJ82" s="81"/>
      <c r="CK82" s="81"/>
    </row>
    <row r="83" spans="1:89" s="82" customFormat="1" ht="30" customHeight="1" thickBot="1" x14ac:dyDescent="0.35">
      <c r="A83" s="79"/>
      <c r="B83" s="74" t="s">
        <v>42</v>
      </c>
      <c r="C83" s="75"/>
      <c r="D83" s="76"/>
      <c r="E83" s="77">
        <f>E82</f>
        <v>46353</v>
      </c>
      <c r="F83" s="78">
        <f>F82</f>
        <v>46353</v>
      </c>
      <c r="G83" s="80"/>
      <c r="H83" s="80">
        <f t="shared" si="24"/>
        <v>1</v>
      </c>
      <c r="I83" s="81"/>
      <c r="J83" s="81"/>
      <c r="K83" s="81"/>
      <c r="L83" s="81"/>
      <c r="M83" s="81"/>
      <c r="N83" s="81"/>
      <c r="O83" s="81"/>
      <c r="P83" s="81"/>
      <c r="Q83" s="81"/>
      <c r="R83" s="81"/>
      <c r="S83" s="81"/>
      <c r="T83" s="81"/>
      <c r="U83" s="81"/>
      <c r="V83" s="81"/>
      <c r="W83" s="81"/>
      <c r="X83" s="81"/>
      <c r="Y83" s="81"/>
      <c r="Z83" s="81"/>
      <c r="AA83" s="81"/>
      <c r="AB83" s="81"/>
      <c r="AC83" s="81"/>
      <c r="AD83" s="81"/>
      <c r="AE83" s="81"/>
      <c r="AF83" s="81"/>
      <c r="AG83" s="81"/>
      <c r="AH83" s="81"/>
      <c r="AI83" s="81"/>
      <c r="AJ83" s="81"/>
      <c r="AK83" s="81"/>
      <c r="AL83" s="81"/>
      <c r="AM83" s="81"/>
      <c r="AN83" s="81"/>
      <c r="AO83" s="81"/>
      <c r="AP83" s="81"/>
      <c r="AQ83" s="81"/>
      <c r="AR83" s="81"/>
      <c r="AS83" s="81"/>
      <c r="AT83" s="81"/>
      <c r="AU83" s="81"/>
      <c r="AV83" s="81"/>
      <c r="AW83" s="81"/>
      <c r="AX83" s="81"/>
      <c r="AY83" s="81"/>
      <c r="AZ83" s="81"/>
      <c r="BA83" s="81"/>
      <c r="BB83" s="81"/>
      <c r="BC83" s="81"/>
      <c r="BD83" s="81"/>
      <c r="BE83" s="81"/>
      <c r="BF83" s="81"/>
      <c r="BG83" s="81"/>
      <c r="BH83" s="81"/>
      <c r="BI83" s="81"/>
      <c r="BJ83" s="81"/>
      <c r="BK83" s="81"/>
      <c r="BL83" s="81"/>
      <c r="BM83" s="81"/>
      <c r="BN83" s="81"/>
      <c r="BO83" s="81"/>
      <c r="BP83" s="81"/>
      <c r="BQ83" s="81"/>
      <c r="BR83" s="81"/>
      <c r="BS83" s="81"/>
      <c r="BT83" s="81"/>
      <c r="BU83" s="81"/>
      <c r="BV83" s="81"/>
      <c r="BW83" s="81"/>
      <c r="BX83" s="81"/>
      <c r="BY83" s="81"/>
      <c r="BZ83" s="81"/>
      <c r="CA83" s="81"/>
      <c r="CB83" s="81"/>
      <c r="CC83" s="81"/>
      <c r="CD83" s="81"/>
      <c r="CE83" s="81"/>
      <c r="CF83" s="81"/>
      <c r="CG83" s="81"/>
      <c r="CH83" s="81"/>
      <c r="CI83" s="81"/>
      <c r="CJ83" s="81"/>
      <c r="CK83" s="81"/>
    </row>
    <row r="84" spans="1:89" s="82" customFormat="1" ht="30" customHeight="1" thickBot="1" x14ac:dyDescent="0.35">
      <c r="A84" s="79"/>
      <c r="B84" s="74" t="s">
        <v>88</v>
      </c>
      <c r="C84" s="75"/>
      <c r="D84" s="76"/>
      <c r="E84" s="77">
        <f>AY5</f>
        <v>46356</v>
      </c>
      <c r="F84" s="78">
        <f>BA5</f>
        <v>46358</v>
      </c>
      <c r="G84" s="80"/>
      <c r="H84" s="80">
        <f t="shared" si="24"/>
        <v>3</v>
      </c>
      <c r="I84" s="81"/>
      <c r="J84" s="81"/>
      <c r="K84" s="81"/>
      <c r="L84" s="81"/>
      <c r="M84" s="81"/>
      <c r="N84" s="81"/>
      <c r="O84" s="81"/>
      <c r="P84" s="81"/>
      <c r="Q84" s="81"/>
      <c r="R84" s="81"/>
      <c r="S84" s="81"/>
      <c r="T84" s="81"/>
      <c r="U84" s="81"/>
      <c r="V84" s="81"/>
      <c r="W84" s="81"/>
      <c r="X84" s="81"/>
      <c r="Y84" s="81"/>
      <c r="Z84" s="81"/>
      <c r="AA84" s="81"/>
      <c r="AB84" s="81"/>
      <c r="AC84" s="81"/>
      <c r="AD84" s="81"/>
      <c r="AE84" s="81"/>
      <c r="AF84" s="81"/>
      <c r="AG84" s="81"/>
      <c r="AH84" s="81"/>
      <c r="AI84" s="81"/>
      <c r="AJ84" s="81"/>
      <c r="AK84" s="81"/>
      <c r="AL84" s="81"/>
      <c r="AM84" s="81"/>
      <c r="AN84" s="81"/>
      <c r="AO84" s="81"/>
      <c r="AP84" s="81"/>
      <c r="AQ84" s="81"/>
      <c r="AR84" s="81"/>
      <c r="AS84" s="81"/>
      <c r="AT84" s="81"/>
      <c r="AU84" s="81"/>
      <c r="AV84" s="81"/>
      <c r="AW84" s="81"/>
      <c r="AX84" s="81"/>
      <c r="AY84" s="81"/>
      <c r="AZ84" s="81"/>
      <c r="BA84" s="81"/>
      <c r="BB84" s="81"/>
      <c r="BC84" s="81"/>
      <c r="BD84" s="81"/>
      <c r="BE84" s="81"/>
      <c r="BF84" s="81"/>
      <c r="BG84" s="81"/>
      <c r="BH84" s="81"/>
      <c r="BI84" s="81"/>
      <c r="BJ84" s="81"/>
      <c r="BK84" s="81"/>
      <c r="BL84" s="81"/>
      <c r="BM84" s="81"/>
      <c r="BN84" s="81"/>
      <c r="BO84" s="81"/>
      <c r="BP84" s="81"/>
      <c r="BQ84" s="81"/>
      <c r="BR84" s="81"/>
      <c r="BS84" s="81"/>
      <c r="BT84" s="81"/>
      <c r="BU84" s="81"/>
      <c r="BV84" s="81"/>
      <c r="BW84" s="81"/>
      <c r="BX84" s="81"/>
      <c r="BY84" s="81"/>
      <c r="BZ84" s="81"/>
      <c r="CA84" s="81"/>
      <c r="CB84" s="81"/>
      <c r="CC84" s="81"/>
      <c r="CD84" s="81"/>
      <c r="CE84" s="81"/>
      <c r="CF84" s="81"/>
      <c r="CG84" s="81"/>
      <c r="CH84" s="81"/>
      <c r="CI84" s="81"/>
      <c r="CJ84" s="81"/>
      <c r="CK84" s="81"/>
    </row>
    <row r="85" spans="1:89" s="82" customFormat="1" ht="30" customHeight="1" thickBot="1" x14ac:dyDescent="0.35">
      <c r="A85" s="79"/>
      <c r="B85" s="74" t="s">
        <v>49</v>
      </c>
      <c r="C85" s="75"/>
      <c r="D85" s="76"/>
      <c r="E85" s="77">
        <f>F84</f>
        <v>46358</v>
      </c>
      <c r="F85" s="78">
        <f>BC5</f>
        <v>46360</v>
      </c>
      <c r="G85" s="80"/>
      <c r="H85" s="80">
        <f t="shared" si="24"/>
        <v>3</v>
      </c>
      <c r="I85" s="81"/>
      <c r="J85" s="81"/>
      <c r="K85" s="81"/>
      <c r="L85" s="81"/>
      <c r="M85" s="81"/>
      <c r="N85" s="81"/>
      <c r="O85" s="81"/>
      <c r="P85" s="81"/>
      <c r="Q85" s="81"/>
      <c r="R85" s="81"/>
      <c r="S85" s="81"/>
      <c r="T85" s="81"/>
      <c r="U85" s="81"/>
      <c r="V85" s="81"/>
      <c r="W85" s="81"/>
      <c r="X85" s="81"/>
      <c r="Y85" s="81"/>
      <c r="Z85" s="81"/>
      <c r="AA85" s="81"/>
      <c r="AB85" s="81"/>
      <c r="AC85" s="81"/>
      <c r="AD85" s="81"/>
      <c r="AE85" s="81"/>
      <c r="AF85" s="81"/>
      <c r="AG85" s="81"/>
      <c r="AH85" s="81"/>
      <c r="AI85" s="81"/>
      <c r="AJ85" s="81"/>
      <c r="AK85" s="81"/>
      <c r="AL85" s="81"/>
      <c r="AM85" s="81"/>
      <c r="AN85" s="81"/>
      <c r="AO85" s="81"/>
      <c r="AP85" s="81"/>
      <c r="AQ85" s="81"/>
      <c r="AR85" s="81"/>
      <c r="AS85" s="81"/>
      <c r="AT85" s="81"/>
      <c r="AU85" s="81"/>
      <c r="AV85" s="81"/>
      <c r="AW85" s="81"/>
      <c r="AX85" s="81"/>
      <c r="AY85" s="81"/>
      <c r="AZ85" s="81"/>
      <c r="BA85" s="81"/>
      <c r="BB85" s="81"/>
      <c r="BC85" s="81"/>
      <c r="BD85" s="81"/>
      <c r="BE85" s="81"/>
      <c r="BF85" s="81"/>
      <c r="BG85" s="81"/>
      <c r="BH85" s="81"/>
      <c r="BI85" s="81"/>
      <c r="BJ85" s="81"/>
      <c r="BK85" s="81"/>
      <c r="BL85" s="81"/>
      <c r="BM85" s="81"/>
      <c r="BN85" s="81"/>
      <c r="BO85" s="81"/>
      <c r="BP85" s="81"/>
      <c r="BQ85" s="81"/>
      <c r="BR85" s="81"/>
      <c r="BS85" s="81"/>
      <c r="BT85" s="81"/>
      <c r="BU85" s="81"/>
      <c r="BV85" s="81"/>
      <c r="BW85" s="81"/>
      <c r="BX85" s="81"/>
      <c r="BY85" s="81"/>
      <c r="BZ85" s="81"/>
      <c r="CA85" s="81"/>
      <c r="CB85" s="81"/>
      <c r="CC85" s="81"/>
      <c r="CD85" s="81"/>
      <c r="CE85" s="81"/>
      <c r="CF85" s="81"/>
      <c r="CG85" s="81"/>
      <c r="CH85" s="81"/>
      <c r="CI85" s="81"/>
      <c r="CJ85" s="81"/>
      <c r="CK85" s="81"/>
    </row>
    <row r="86" spans="1:89" s="82" customFormat="1" ht="30" customHeight="1" thickBot="1" x14ac:dyDescent="0.35">
      <c r="A86" s="79"/>
      <c r="B86" s="74" t="s">
        <v>83</v>
      </c>
      <c r="C86" s="75"/>
      <c r="D86" s="76"/>
      <c r="E86" s="77">
        <f>F85</f>
        <v>46360</v>
      </c>
      <c r="F86" s="78">
        <f>BC5</f>
        <v>46360</v>
      </c>
      <c r="G86" s="80"/>
      <c r="H86" s="80">
        <f t="shared" si="24"/>
        <v>1</v>
      </c>
      <c r="I86" s="81"/>
      <c r="J86" s="81"/>
      <c r="K86" s="81"/>
      <c r="L86" s="81"/>
      <c r="M86" s="81"/>
      <c r="N86" s="81"/>
      <c r="O86" s="81"/>
      <c r="P86" s="81"/>
      <c r="Q86" s="81"/>
      <c r="R86" s="81"/>
      <c r="S86" s="81"/>
      <c r="T86" s="81"/>
      <c r="U86" s="81"/>
      <c r="V86" s="81"/>
      <c r="W86" s="81"/>
      <c r="X86" s="81"/>
      <c r="Y86" s="81"/>
      <c r="Z86" s="81"/>
      <c r="AA86" s="81"/>
      <c r="AB86" s="81"/>
      <c r="AC86" s="81"/>
      <c r="AD86" s="81"/>
      <c r="AE86" s="81"/>
      <c r="AF86" s="81"/>
      <c r="AG86" s="81"/>
      <c r="AH86" s="81"/>
      <c r="AI86" s="81"/>
      <c r="AJ86" s="81"/>
      <c r="AK86" s="81"/>
      <c r="AL86" s="81"/>
      <c r="AM86" s="81"/>
      <c r="AN86" s="81"/>
      <c r="AO86" s="81"/>
      <c r="AP86" s="81"/>
      <c r="AQ86" s="81"/>
      <c r="AR86" s="81"/>
      <c r="AS86" s="81"/>
      <c r="AT86" s="81"/>
      <c r="AU86" s="81"/>
      <c r="AV86" s="81"/>
      <c r="AW86" s="81"/>
      <c r="AX86" s="81"/>
      <c r="AY86" s="81"/>
      <c r="AZ86" s="81"/>
      <c r="BA86" s="81"/>
      <c r="BB86" s="81"/>
      <c r="BC86" s="81"/>
      <c r="BD86" s="81"/>
      <c r="BE86" s="81"/>
      <c r="BF86" s="81"/>
      <c r="BG86" s="81"/>
      <c r="BH86" s="81"/>
      <c r="BI86" s="81"/>
      <c r="BJ86" s="81"/>
      <c r="BK86" s="81"/>
      <c r="BL86" s="81"/>
      <c r="BM86" s="81"/>
      <c r="BN86" s="81"/>
      <c r="BO86" s="81"/>
      <c r="BP86" s="81"/>
      <c r="BQ86" s="81"/>
      <c r="BR86" s="81"/>
      <c r="BS86" s="81"/>
      <c r="BT86" s="81"/>
      <c r="BU86" s="81"/>
      <c r="BV86" s="81"/>
      <c r="BW86" s="81"/>
      <c r="BX86" s="81"/>
      <c r="BY86" s="81"/>
      <c r="BZ86" s="81"/>
      <c r="CA86" s="81"/>
      <c r="CB86" s="81"/>
      <c r="CC86" s="81"/>
      <c r="CD86" s="81"/>
      <c r="CE86" s="81"/>
      <c r="CF86" s="81"/>
      <c r="CG86" s="81"/>
      <c r="CH86" s="81"/>
      <c r="CI86" s="81"/>
      <c r="CJ86" s="81"/>
      <c r="CK86" s="81"/>
    </row>
    <row r="87" spans="1:89" s="82" customFormat="1" ht="30" customHeight="1" thickBot="1" x14ac:dyDescent="0.35">
      <c r="A87" s="79"/>
      <c r="B87" s="74" t="s">
        <v>89</v>
      </c>
      <c r="C87" s="75"/>
      <c r="D87" s="76"/>
      <c r="E87" s="77">
        <f>F86</f>
        <v>46360</v>
      </c>
      <c r="F87" s="78">
        <f>F86</f>
        <v>46360</v>
      </c>
      <c r="G87" s="80"/>
      <c r="H87" s="80">
        <f t="shared" si="24"/>
        <v>1</v>
      </c>
      <c r="I87" s="81"/>
      <c r="J87" s="81"/>
      <c r="K87" s="81"/>
      <c r="L87" s="81"/>
      <c r="M87" s="81"/>
      <c r="N87" s="81"/>
      <c r="O87" s="81"/>
      <c r="P87" s="81"/>
      <c r="Q87" s="81"/>
      <c r="R87" s="81"/>
      <c r="S87" s="81"/>
      <c r="T87" s="81"/>
      <c r="U87" s="81"/>
      <c r="V87" s="81"/>
      <c r="W87" s="81"/>
      <c r="X87" s="81"/>
      <c r="Y87" s="81"/>
      <c r="Z87" s="81"/>
      <c r="AA87" s="81"/>
      <c r="AB87" s="81"/>
      <c r="AC87" s="81"/>
      <c r="AD87" s="81"/>
      <c r="AE87" s="81"/>
      <c r="AF87" s="81"/>
      <c r="AG87" s="81"/>
      <c r="AH87" s="81"/>
      <c r="AI87" s="81"/>
      <c r="AJ87" s="81"/>
      <c r="AK87" s="81"/>
      <c r="AL87" s="81"/>
      <c r="AM87" s="81"/>
      <c r="AN87" s="81"/>
      <c r="AO87" s="81"/>
      <c r="AP87" s="81"/>
      <c r="AQ87" s="81"/>
      <c r="AR87" s="81"/>
      <c r="AS87" s="81"/>
      <c r="AT87" s="81"/>
      <c r="AU87" s="81"/>
      <c r="AV87" s="81"/>
      <c r="AW87" s="81"/>
      <c r="AX87" s="81"/>
      <c r="AY87" s="81"/>
      <c r="AZ87" s="81"/>
      <c r="BA87" s="81"/>
      <c r="BB87" s="81"/>
      <c r="BC87" s="81"/>
      <c r="BD87" s="81"/>
      <c r="BE87" s="81"/>
      <c r="BF87" s="81"/>
      <c r="BG87" s="81"/>
      <c r="BH87" s="81"/>
      <c r="BI87" s="81"/>
      <c r="BJ87" s="81"/>
      <c r="BK87" s="81"/>
      <c r="BL87" s="81"/>
      <c r="BM87" s="81"/>
      <c r="BN87" s="81"/>
      <c r="BO87" s="81"/>
      <c r="BP87" s="81"/>
      <c r="BQ87" s="81"/>
      <c r="BR87" s="81"/>
      <c r="BS87" s="81"/>
      <c r="BT87" s="81"/>
      <c r="BU87" s="81"/>
      <c r="BV87" s="81"/>
      <c r="BW87" s="81"/>
      <c r="BX87" s="81"/>
      <c r="BY87" s="81"/>
      <c r="BZ87" s="81"/>
      <c r="CA87" s="81"/>
      <c r="CB87" s="81"/>
      <c r="CC87" s="81"/>
      <c r="CD87" s="81"/>
      <c r="CE87" s="81"/>
      <c r="CF87" s="81"/>
      <c r="CG87" s="81"/>
      <c r="CH87" s="81"/>
      <c r="CI87" s="81"/>
      <c r="CJ87" s="81"/>
      <c r="CK87" s="81"/>
    </row>
    <row r="88" spans="1:89" s="82" customFormat="1" ht="30" customHeight="1" thickBot="1" x14ac:dyDescent="0.35">
      <c r="A88" s="79"/>
      <c r="B88" s="74" t="s">
        <v>47</v>
      </c>
      <c r="C88" s="75"/>
      <c r="D88" s="76"/>
      <c r="E88" s="77">
        <f>BF5</f>
        <v>46363</v>
      </c>
      <c r="F88" s="78">
        <f>BJ5</f>
        <v>46367</v>
      </c>
      <c r="G88" s="80"/>
      <c r="H88" s="80">
        <f t="shared" si="24"/>
        <v>5</v>
      </c>
      <c r="I88" s="81"/>
      <c r="J88" s="81"/>
      <c r="K88" s="81"/>
      <c r="L88" s="81"/>
      <c r="M88" s="81"/>
      <c r="N88" s="81"/>
      <c r="O88" s="81"/>
      <c r="P88" s="81"/>
      <c r="Q88" s="81"/>
      <c r="R88" s="81"/>
      <c r="S88" s="81"/>
      <c r="T88" s="81"/>
      <c r="U88" s="81"/>
      <c r="V88" s="81"/>
      <c r="W88" s="81"/>
      <c r="X88" s="81"/>
      <c r="Y88" s="81"/>
      <c r="Z88" s="81"/>
      <c r="AA88" s="81"/>
      <c r="AB88" s="81"/>
      <c r="AC88" s="81"/>
      <c r="AD88" s="81"/>
      <c r="AE88" s="81"/>
      <c r="AF88" s="81"/>
      <c r="AG88" s="81"/>
      <c r="AH88" s="81"/>
      <c r="AI88" s="81"/>
      <c r="AJ88" s="81"/>
      <c r="AK88" s="81"/>
      <c r="AL88" s="81"/>
      <c r="AM88" s="81"/>
      <c r="AN88" s="81"/>
      <c r="AO88" s="81"/>
      <c r="AP88" s="81"/>
      <c r="AQ88" s="81"/>
      <c r="AR88" s="81"/>
      <c r="AS88" s="81"/>
      <c r="AT88" s="81"/>
      <c r="AU88" s="81"/>
      <c r="AV88" s="81"/>
      <c r="AW88" s="81"/>
      <c r="AX88" s="81"/>
      <c r="AY88" s="81"/>
      <c r="AZ88" s="81"/>
      <c r="BA88" s="81"/>
      <c r="BB88" s="81"/>
      <c r="BC88" s="81"/>
      <c r="BD88" s="81"/>
      <c r="BE88" s="81"/>
      <c r="BF88" s="81"/>
      <c r="BG88" s="81"/>
      <c r="BH88" s="81"/>
      <c r="BI88" s="81"/>
      <c r="BJ88" s="81"/>
      <c r="BK88" s="81"/>
      <c r="BL88" s="81"/>
      <c r="BM88" s="81"/>
      <c r="BN88" s="81"/>
      <c r="BO88" s="81"/>
      <c r="BP88" s="81"/>
      <c r="BQ88" s="81"/>
      <c r="BR88" s="81"/>
      <c r="BS88" s="81"/>
      <c r="BT88" s="81"/>
      <c r="BU88" s="81"/>
      <c r="BV88" s="81"/>
      <c r="BW88" s="81"/>
      <c r="BX88" s="81"/>
      <c r="BY88" s="81"/>
      <c r="BZ88" s="81"/>
      <c r="CA88" s="81"/>
      <c r="CB88" s="81"/>
      <c r="CC88" s="81"/>
      <c r="CD88" s="81"/>
      <c r="CE88" s="81"/>
      <c r="CF88" s="81"/>
      <c r="CG88" s="81"/>
      <c r="CH88" s="81"/>
      <c r="CI88" s="81"/>
      <c r="CJ88" s="81"/>
      <c r="CK88" s="81"/>
    </row>
    <row r="89" spans="1:89" s="82" customFormat="1" ht="30" customHeight="1" thickBot="1" x14ac:dyDescent="0.35">
      <c r="A89" s="79"/>
      <c r="B89" s="74" t="s">
        <v>87</v>
      </c>
      <c r="C89" s="75"/>
      <c r="D89" s="76"/>
      <c r="E89" s="77">
        <f>F88</f>
        <v>46367</v>
      </c>
      <c r="F89" s="78">
        <f t="shared" ref="F89" si="25">F88</f>
        <v>46367</v>
      </c>
      <c r="G89" s="80"/>
      <c r="H89" s="80">
        <f t="shared" si="24"/>
        <v>1</v>
      </c>
      <c r="I89" s="81"/>
      <c r="J89" s="81"/>
      <c r="K89" s="81"/>
      <c r="L89" s="81"/>
      <c r="M89" s="81"/>
      <c r="N89" s="81"/>
      <c r="O89" s="81"/>
      <c r="P89" s="81"/>
      <c r="Q89" s="81"/>
      <c r="R89" s="81"/>
      <c r="S89" s="81"/>
      <c r="T89" s="81"/>
      <c r="U89" s="81"/>
      <c r="V89" s="81"/>
      <c r="W89" s="81"/>
      <c r="X89" s="81"/>
      <c r="Y89" s="81"/>
      <c r="Z89" s="81"/>
      <c r="AA89" s="81"/>
      <c r="AB89" s="81"/>
      <c r="AC89" s="81"/>
      <c r="AD89" s="81"/>
      <c r="AE89" s="81"/>
      <c r="AF89" s="81"/>
      <c r="AG89" s="81"/>
      <c r="AH89" s="81"/>
      <c r="AI89" s="81"/>
      <c r="AJ89" s="81"/>
      <c r="AK89" s="81"/>
      <c r="AL89" s="81"/>
      <c r="AM89" s="81"/>
      <c r="AN89" s="81"/>
      <c r="AO89" s="81"/>
      <c r="AP89" s="81"/>
      <c r="AQ89" s="81"/>
      <c r="AR89" s="81"/>
      <c r="AS89" s="81"/>
      <c r="AT89" s="81"/>
      <c r="AU89" s="81"/>
      <c r="AV89" s="81"/>
      <c r="AW89" s="81"/>
      <c r="AX89" s="81"/>
      <c r="AY89" s="81"/>
      <c r="AZ89" s="81"/>
      <c r="BA89" s="81"/>
      <c r="BB89" s="81"/>
      <c r="BC89" s="81"/>
      <c r="BD89" s="81"/>
      <c r="BE89" s="81"/>
      <c r="BF89" s="81"/>
      <c r="BG89" s="81"/>
      <c r="BH89" s="81"/>
      <c r="BI89" s="81"/>
      <c r="BJ89" s="81"/>
      <c r="BK89" s="81"/>
      <c r="BL89" s="81"/>
      <c r="BM89" s="81"/>
      <c r="BN89" s="81"/>
      <c r="BO89" s="81"/>
      <c r="BP89" s="81"/>
      <c r="BQ89" s="81"/>
      <c r="BR89" s="81"/>
      <c r="BS89" s="81"/>
      <c r="BT89" s="81"/>
      <c r="BU89" s="81"/>
      <c r="BV89" s="81"/>
      <c r="BW89" s="81"/>
      <c r="BX89" s="81"/>
      <c r="BY89" s="81"/>
      <c r="BZ89" s="81"/>
      <c r="CA89" s="81"/>
      <c r="CB89" s="81"/>
      <c r="CC89" s="81"/>
      <c r="CD89" s="81"/>
      <c r="CE89" s="81"/>
      <c r="CF89" s="81"/>
      <c r="CG89" s="81"/>
      <c r="CH89" s="81"/>
      <c r="CI89" s="81"/>
      <c r="CJ89" s="81"/>
      <c r="CK89" s="81"/>
    </row>
  </sheetData>
  <mergeCells count="13">
    <mergeCell ref="BM4:BS4"/>
    <mergeCell ref="BY4:CE4"/>
    <mergeCell ref="BF4:BL4"/>
    <mergeCell ref="E3:F3"/>
    <mergeCell ref="I4:O4"/>
    <mergeCell ref="P4:V4"/>
    <mergeCell ref="W4:AC4"/>
    <mergeCell ref="AD4:AJ4"/>
    <mergeCell ref="C3:D3"/>
    <mergeCell ref="C4:D4"/>
    <mergeCell ref="AK4:AQ4"/>
    <mergeCell ref="AR4:AX4"/>
    <mergeCell ref="AY4:BE4"/>
  </mergeCells>
  <phoneticPr fontId="26"/>
  <conditionalFormatting sqref="D7:D13 D15:D20 D26:D47 D50:D80">
    <cfRule type="dataBar" priority="30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13 I15:BL20 I26:BL47 I50:BL80">
    <cfRule type="expression" dxfId="209" priority="323">
      <formula>AND(TODAY()&gt;=I$5,TODAY()&lt;J$5)</formula>
    </cfRule>
  </conditionalFormatting>
  <conditionalFormatting sqref="I7:BL13 I15:BL20 I26:BL47 I50:BL80">
    <cfRule type="expression" dxfId="208" priority="317">
      <formula>AND(タスク_開始&lt;=I$5,ROUNDDOWN((タスク_終了-タスク_開始+1)*タスク_進捗状況,0)+タスク_開始-1&gt;=I$5)</formula>
    </cfRule>
    <cfRule type="expression" dxfId="207" priority="318" stopIfTrue="1">
      <formula>AND(タスク_終了&gt;=I$5,タスク_開始&lt;J$5)</formula>
    </cfRule>
  </conditionalFormatting>
  <conditionalFormatting sqref="D14">
    <cfRule type="dataBar" priority="287">
      <dataBar>
        <cfvo type="num" val="0"/>
        <cfvo type="num" val="1"/>
        <color theme="0" tint="-0.249977111117893"/>
      </dataBar>
      <extLst>
        <ext xmlns:x14="http://schemas.microsoft.com/office/spreadsheetml/2009/9/main" uri="{B025F937-C7B1-47D3-B67F-A62EFF666E3E}">
          <x14:id>{B856810B-3143-4EB8-9484-D2A8550734EC}</x14:id>
        </ext>
      </extLst>
    </cfRule>
  </conditionalFormatting>
  <conditionalFormatting sqref="I14:BL14">
    <cfRule type="expression" dxfId="206" priority="290">
      <formula>AND(TODAY()&gt;=I$5,TODAY()&lt;J$5)</formula>
    </cfRule>
  </conditionalFormatting>
  <conditionalFormatting sqref="I14:BL14">
    <cfRule type="expression" dxfId="205" priority="288">
      <formula>AND(タスク_開始&lt;=I$5,ROUNDDOWN((タスク_終了-タスク_開始+1)*タスク_進捗状況,0)+タスク_開始-1&gt;=I$5)</formula>
    </cfRule>
    <cfRule type="expression" dxfId="204" priority="289" stopIfTrue="1">
      <formula>AND(タスク_終了&gt;=I$5,タスク_開始&lt;J$5)</formula>
    </cfRule>
  </conditionalFormatting>
  <conditionalFormatting sqref="D81">
    <cfRule type="dataBar" priority="259">
      <dataBar>
        <cfvo type="num" val="0"/>
        <cfvo type="num" val="1"/>
        <color theme="0" tint="-0.249977111117893"/>
      </dataBar>
      <extLst>
        <ext xmlns:x14="http://schemas.microsoft.com/office/spreadsheetml/2009/9/main" uri="{B025F937-C7B1-47D3-B67F-A62EFF666E3E}">
          <x14:id>{A337BCAA-C4DB-4278-82AB-E3F95D3297A1}</x14:id>
        </ext>
      </extLst>
    </cfRule>
  </conditionalFormatting>
  <conditionalFormatting sqref="I81:BL81">
    <cfRule type="expression" dxfId="203" priority="262">
      <formula>AND(TODAY()&gt;=I$5,TODAY()&lt;J$5)</formula>
    </cfRule>
  </conditionalFormatting>
  <conditionalFormatting sqref="I81:BL81">
    <cfRule type="expression" dxfId="202" priority="260">
      <formula>AND(タスク_開始&lt;=I$5,ROUNDDOWN((タスク_終了-タスク_開始+1)*タスク_進捗状況,0)+タスク_開始-1&gt;=I$5)</formula>
    </cfRule>
    <cfRule type="expression" dxfId="201" priority="261" stopIfTrue="1">
      <formula>AND(タスク_終了&gt;=I$5,タスク_開始&lt;J$5)</formula>
    </cfRule>
  </conditionalFormatting>
  <conditionalFormatting sqref="D82">
    <cfRule type="dataBar" priority="247">
      <dataBar>
        <cfvo type="num" val="0"/>
        <cfvo type="num" val="1"/>
        <color theme="0" tint="-0.249977111117893"/>
      </dataBar>
      <extLst>
        <ext xmlns:x14="http://schemas.microsoft.com/office/spreadsheetml/2009/9/main" uri="{B025F937-C7B1-47D3-B67F-A62EFF666E3E}">
          <x14:id>{F8658D12-1BDA-4870-B161-391B486638CA}</x14:id>
        </ext>
      </extLst>
    </cfRule>
  </conditionalFormatting>
  <conditionalFormatting sqref="I82:BL82">
    <cfRule type="expression" dxfId="200" priority="250">
      <formula>AND(TODAY()&gt;=I$5,TODAY()&lt;J$5)</formula>
    </cfRule>
  </conditionalFormatting>
  <conditionalFormatting sqref="I82:BL82">
    <cfRule type="expression" dxfId="199" priority="248">
      <formula>AND(タスク_開始&lt;=I$5,ROUNDDOWN((タスク_終了-タスク_開始+1)*タスク_進捗状況,0)+タスク_開始-1&gt;=I$5)</formula>
    </cfRule>
    <cfRule type="expression" dxfId="198" priority="249" stopIfTrue="1">
      <formula>AND(タスク_終了&gt;=I$5,タスク_開始&lt;J$5)</formula>
    </cfRule>
  </conditionalFormatting>
  <conditionalFormatting sqref="I83:BL83">
    <cfRule type="expression" dxfId="197" priority="246">
      <formula>AND(TODAY()&gt;=I$5,TODAY()&lt;J$5)</formula>
    </cfRule>
  </conditionalFormatting>
  <conditionalFormatting sqref="I83:BL83">
    <cfRule type="expression" dxfId="196" priority="244">
      <formula>AND(タスク_開始&lt;=I$5,ROUNDDOWN((タスク_終了-タスク_開始+1)*タスク_進捗状況,0)+タスク_開始-1&gt;=I$5)</formula>
    </cfRule>
    <cfRule type="expression" dxfId="195" priority="245" stopIfTrue="1">
      <formula>AND(タスク_終了&gt;=I$5,タスク_開始&lt;J$5)</formula>
    </cfRule>
  </conditionalFormatting>
  <conditionalFormatting sqref="I84:BL84">
    <cfRule type="expression" dxfId="194" priority="242">
      <formula>AND(TODAY()&gt;=I$5,TODAY()&lt;J$5)</formula>
    </cfRule>
  </conditionalFormatting>
  <conditionalFormatting sqref="I84:BL84">
    <cfRule type="expression" dxfId="193" priority="240">
      <formula>AND(タスク_開始&lt;=I$5,ROUNDDOWN((タスク_終了-タスク_開始+1)*タスク_進捗状況,0)+タスク_開始-1&gt;=I$5)</formula>
    </cfRule>
    <cfRule type="expression" dxfId="192" priority="241" stopIfTrue="1">
      <formula>AND(タスク_終了&gt;=I$5,タスク_開始&lt;J$5)</formula>
    </cfRule>
  </conditionalFormatting>
  <conditionalFormatting sqref="D85">
    <cfRule type="dataBar" priority="235">
      <dataBar>
        <cfvo type="num" val="0"/>
        <cfvo type="num" val="1"/>
        <color theme="0" tint="-0.249977111117893"/>
      </dataBar>
      <extLst>
        <ext xmlns:x14="http://schemas.microsoft.com/office/spreadsheetml/2009/9/main" uri="{B025F937-C7B1-47D3-B67F-A62EFF666E3E}">
          <x14:id>{B0896403-1117-4AAB-B058-74FF98C20B58}</x14:id>
        </ext>
      </extLst>
    </cfRule>
  </conditionalFormatting>
  <conditionalFormatting sqref="I85:BL85">
    <cfRule type="expression" dxfId="191" priority="238">
      <formula>AND(TODAY()&gt;=I$5,TODAY()&lt;J$5)</formula>
    </cfRule>
  </conditionalFormatting>
  <conditionalFormatting sqref="I85:BL85">
    <cfRule type="expression" dxfId="190" priority="236">
      <formula>AND(タスク_開始&lt;=I$5,ROUNDDOWN((タスク_終了-タスク_開始+1)*タスク_進捗状況,0)+タスク_開始-1&gt;=I$5)</formula>
    </cfRule>
    <cfRule type="expression" dxfId="189" priority="237" stopIfTrue="1">
      <formula>AND(タスク_終了&gt;=I$5,タスク_開始&lt;J$5)</formula>
    </cfRule>
  </conditionalFormatting>
  <conditionalFormatting sqref="D86">
    <cfRule type="dataBar" priority="231">
      <dataBar>
        <cfvo type="num" val="0"/>
        <cfvo type="num" val="1"/>
        <color theme="0" tint="-0.249977111117893"/>
      </dataBar>
      <extLst>
        <ext xmlns:x14="http://schemas.microsoft.com/office/spreadsheetml/2009/9/main" uri="{B025F937-C7B1-47D3-B67F-A62EFF666E3E}">
          <x14:id>{272C1C02-5D00-4E79-BD75-D086B0EE91A6}</x14:id>
        </ext>
      </extLst>
    </cfRule>
  </conditionalFormatting>
  <conditionalFormatting sqref="I86:BL86">
    <cfRule type="expression" dxfId="188" priority="234">
      <formula>AND(TODAY()&gt;=I$5,TODAY()&lt;J$5)</formula>
    </cfRule>
  </conditionalFormatting>
  <conditionalFormatting sqref="I86:BL86">
    <cfRule type="expression" dxfId="187" priority="232">
      <formula>AND(タスク_開始&lt;=I$5,ROUNDDOWN((タスク_終了-タスク_開始+1)*タスク_進捗状況,0)+タスク_開始-1&gt;=I$5)</formula>
    </cfRule>
    <cfRule type="expression" dxfId="186" priority="233" stopIfTrue="1">
      <formula>AND(タスク_終了&gt;=I$5,タスク_開始&lt;J$5)</formula>
    </cfRule>
  </conditionalFormatting>
  <conditionalFormatting sqref="D87">
    <cfRule type="dataBar" priority="227">
      <dataBar>
        <cfvo type="num" val="0"/>
        <cfvo type="num" val="1"/>
        <color theme="0" tint="-0.249977111117893"/>
      </dataBar>
      <extLst>
        <ext xmlns:x14="http://schemas.microsoft.com/office/spreadsheetml/2009/9/main" uri="{B025F937-C7B1-47D3-B67F-A62EFF666E3E}">
          <x14:id>{60897657-402D-4F23-84D0-3C3386F2B5F6}</x14:id>
        </ext>
      </extLst>
    </cfRule>
  </conditionalFormatting>
  <conditionalFormatting sqref="I87:BL87">
    <cfRule type="expression" dxfId="185" priority="230">
      <formula>AND(TODAY()&gt;=I$5,TODAY()&lt;J$5)</formula>
    </cfRule>
  </conditionalFormatting>
  <conditionalFormatting sqref="I87:BL87">
    <cfRule type="expression" dxfId="184" priority="228">
      <formula>AND(タスク_開始&lt;=I$5,ROUNDDOWN((タスク_終了-タスク_開始+1)*タスク_進捗状況,0)+タスク_開始-1&gt;=I$5)</formula>
    </cfRule>
    <cfRule type="expression" dxfId="183" priority="229" stopIfTrue="1">
      <formula>AND(タスク_終了&gt;=I$5,タスク_開始&lt;J$5)</formula>
    </cfRule>
  </conditionalFormatting>
  <conditionalFormatting sqref="D88">
    <cfRule type="dataBar" priority="215">
      <dataBar>
        <cfvo type="num" val="0"/>
        <cfvo type="num" val="1"/>
        <color theme="0" tint="-0.249977111117893"/>
      </dataBar>
      <extLst>
        <ext xmlns:x14="http://schemas.microsoft.com/office/spreadsheetml/2009/9/main" uri="{B025F937-C7B1-47D3-B67F-A62EFF666E3E}">
          <x14:id>{F69A1681-8E02-41F7-94F0-200B538AC56E}</x14:id>
        </ext>
      </extLst>
    </cfRule>
  </conditionalFormatting>
  <conditionalFormatting sqref="I88:BL88">
    <cfRule type="expression" dxfId="182" priority="218">
      <formula>AND(TODAY()&gt;=I$5,TODAY()&lt;J$5)</formula>
    </cfRule>
  </conditionalFormatting>
  <conditionalFormatting sqref="I88:BL88">
    <cfRule type="expression" dxfId="181" priority="216">
      <formula>AND(タスク_開始&lt;=I$5,ROUNDDOWN((タスク_終了-タスク_開始+1)*タスク_進捗状況,0)+タスク_開始-1&gt;=I$5)</formula>
    </cfRule>
    <cfRule type="expression" dxfId="180" priority="217" stopIfTrue="1">
      <formula>AND(タスク_終了&gt;=I$5,タスク_開始&lt;J$5)</formula>
    </cfRule>
  </conditionalFormatting>
  <conditionalFormatting sqref="D89">
    <cfRule type="dataBar" priority="211">
      <dataBar>
        <cfvo type="num" val="0"/>
        <cfvo type="num" val="1"/>
        <color theme="0" tint="-0.249977111117893"/>
      </dataBar>
      <extLst>
        <ext xmlns:x14="http://schemas.microsoft.com/office/spreadsheetml/2009/9/main" uri="{B025F937-C7B1-47D3-B67F-A62EFF666E3E}">
          <x14:id>{9CC32F97-A7C5-4D88-96F4-7B03D72913F5}</x14:id>
        </ext>
      </extLst>
    </cfRule>
  </conditionalFormatting>
  <conditionalFormatting sqref="I89:BL89">
    <cfRule type="expression" dxfId="179" priority="214">
      <formula>AND(TODAY()&gt;=I$5,TODAY()&lt;J$5)</formula>
    </cfRule>
  </conditionalFormatting>
  <conditionalFormatting sqref="I89:BL89">
    <cfRule type="expression" dxfId="178" priority="212">
      <formula>AND(タスク_開始&lt;=I$5,ROUNDDOWN((タスク_終了-タスク_開始+1)*タスク_進捗状況,0)+タスク_開始-1&gt;=I$5)</formula>
    </cfRule>
    <cfRule type="expression" dxfId="177" priority="213" stopIfTrue="1">
      <formula>AND(タスク_終了&gt;=I$5,タスク_開始&lt;J$5)</formula>
    </cfRule>
  </conditionalFormatting>
  <conditionalFormatting sqref="D22:D25">
    <cfRule type="dataBar" priority="187">
      <dataBar>
        <cfvo type="num" val="0"/>
        <cfvo type="num" val="1"/>
        <color theme="0" tint="-0.249977111117893"/>
      </dataBar>
      <extLst>
        <ext xmlns:x14="http://schemas.microsoft.com/office/spreadsheetml/2009/9/main" uri="{B025F937-C7B1-47D3-B67F-A62EFF666E3E}">
          <x14:id>{7D180C2C-55F5-478A-AC03-104673016318}</x14:id>
        </ext>
      </extLst>
    </cfRule>
  </conditionalFormatting>
  <conditionalFormatting sqref="I22:BL25">
    <cfRule type="expression" dxfId="176" priority="190">
      <formula>AND(TODAY()&gt;=I$5,TODAY()&lt;J$5)</formula>
    </cfRule>
  </conditionalFormatting>
  <conditionalFormatting sqref="I22:BL25">
    <cfRule type="expression" dxfId="175" priority="188">
      <formula>AND(タスク_開始&lt;=I$5,ROUNDDOWN((タスク_終了-タスク_開始+1)*タスク_進捗状況,0)+タスク_開始-1&gt;=I$5)</formula>
    </cfRule>
    <cfRule type="expression" dxfId="174" priority="189" stopIfTrue="1">
      <formula>AND(タスク_終了&gt;=I$5,タスク_開始&lt;J$5)</formula>
    </cfRule>
  </conditionalFormatting>
  <conditionalFormatting sqref="D21">
    <cfRule type="dataBar" priority="183">
      <dataBar>
        <cfvo type="num" val="0"/>
        <cfvo type="num" val="1"/>
        <color theme="0" tint="-0.249977111117893"/>
      </dataBar>
      <extLst>
        <ext xmlns:x14="http://schemas.microsoft.com/office/spreadsheetml/2009/9/main" uri="{B025F937-C7B1-47D3-B67F-A62EFF666E3E}">
          <x14:id>{03261439-F662-4C35-95C0-1E0F863D39B8}</x14:id>
        </ext>
      </extLst>
    </cfRule>
  </conditionalFormatting>
  <conditionalFormatting sqref="I21:BL21">
    <cfRule type="expression" dxfId="173" priority="186">
      <formula>AND(TODAY()&gt;=I$5,TODAY()&lt;J$5)</formula>
    </cfRule>
  </conditionalFormatting>
  <conditionalFormatting sqref="I21:BL21">
    <cfRule type="expression" dxfId="172" priority="184">
      <formula>AND(タスク_開始&lt;=I$5,ROUNDDOWN((タスク_終了-タスク_開始+1)*タスク_進捗状況,0)+タスク_開始-1&gt;=I$5)</formula>
    </cfRule>
    <cfRule type="expression" dxfId="171" priority="185" stopIfTrue="1">
      <formula>AND(タスク_終了&gt;=I$5,タスク_開始&lt;J$5)</formula>
    </cfRule>
  </conditionalFormatting>
  <conditionalFormatting sqref="D48:D49">
    <cfRule type="dataBar" priority="179">
      <dataBar>
        <cfvo type="num" val="0"/>
        <cfvo type="num" val="1"/>
        <color theme="0" tint="-0.249977111117893"/>
      </dataBar>
      <extLst>
        <ext xmlns:x14="http://schemas.microsoft.com/office/spreadsheetml/2009/9/main" uri="{B025F937-C7B1-47D3-B67F-A62EFF666E3E}">
          <x14:id>{BEB7059F-4EC2-4043-B07D-E19F7C2423B9}</x14:id>
        </ext>
      </extLst>
    </cfRule>
  </conditionalFormatting>
  <conditionalFormatting sqref="I48:BL49">
    <cfRule type="expression" dxfId="170" priority="182">
      <formula>AND(TODAY()&gt;=I$5,TODAY()&lt;J$5)</formula>
    </cfRule>
  </conditionalFormatting>
  <conditionalFormatting sqref="I48:BL49">
    <cfRule type="expression" dxfId="169" priority="180">
      <formula>AND(タスク_開始&lt;=I$5,ROUNDDOWN((タスク_終了-タスク_開始+1)*タスク_進捗状況,0)+タスク_開始-1&gt;=I$5)</formula>
    </cfRule>
    <cfRule type="expression" dxfId="168" priority="181" stopIfTrue="1">
      <formula>AND(タスク_終了&gt;=I$5,タスク_開始&lt;J$5)</formula>
    </cfRule>
  </conditionalFormatting>
  <conditionalFormatting sqref="D83">
    <cfRule type="dataBar" priority="170">
      <dataBar>
        <cfvo type="num" val="0"/>
        <cfvo type="num" val="1"/>
        <color theme="0" tint="-0.249977111117893"/>
      </dataBar>
      <extLst>
        <ext xmlns:x14="http://schemas.microsoft.com/office/spreadsheetml/2009/9/main" uri="{B025F937-C7B1-47D3-B67F-A62EFF666E3E}">
          <x14:id>{BEC3AB7E-0641-4D2F-985B-9133A6AED8D2}</x14:id>
        </ext>
      </extLst>
    </cfRule>
  </conditionalFormatting>
  <conditionalFormatting sqref="D84">
    <cfRule type="dataBar" priority="169">
      <dataBar>
        <cfvo type="num" val="0"/>
        <cfvo type="num" val="1"/>
        <color theme="0" tint="-0.249977111117893"/>
      </dataBar>
      <extLst>
        <ext xmlns:x14="http://schemas.microsoft.com/office/spreadsheetml/2009/9/main" uri="{B025F937-C7B1-47D3-B67F-A62EFF666E3E}">
          <x14:id>{7F1BC557-00A9-4CA6-89A4-C81666F65CF2}</x14:id>
        </ext>
      </extLst>
    </cfRule>
  </conditionalFormatting>
  <conditionalFormatting sqref="CE48:CK49">
    <cfRule type="expression" dxfId="167" priority="1">
      <formula>AND(タスク_開始&lt;=CE$5,ROUNDDOWN((タスク_終了-タスク_開始+1)*タスク_進捗状況,0)+タスク_開始-1&gt;=CE$5)</formula>
    </cfRule>
    <cfRule type="expression" dxfId="166" priority="2" stopIfTrue="1">
      <formula>AND(タスク_終了&gt;=CE$5,タスク_開始&lt;CF$5)</formula>
    </cfRule>
  </conditionalFormatting>
  <conditionalFormatting sqref="BM5:BR13 BM15:BR20 BM26:BR47 BM50:BR80">
    <cfRule type="expression" dxfId="165" priority="168">
      <formula>AND(TODAY()&gt;=BM$5,TODAY()&lt;BN$5)</formula>
    </cfRule>
  </conditionalFormatting>
  <conditionalFormatting sqref="BM7:BR13 BM15:BR20 BM26:BR47 BM50:BR80">
    <cfRule type="expression" dxfId="164" priority="166">
      <formula>AND(タスク_開始&lt;=BM$5,ROUNDDOWN((タスク_終了-タスク_開始+1)*タスク_進捗状況,0)+タスク_開始-1&gt;=BM$5)</formula>
    </cfRule>
    <cfRule type="expression" dxfId="163" priority="167" stopIfTrue="1">
      <formula>AND(タスク_終了&gt;=BM$5,タスク_開始&lt;BN$5)</formula>
    </cfRule>
  </conditionalFormatting>
  <conditionalFormatting sqref="BM14:BR14">
    <cfRule type="expression" dxfId="162" priority="165">
      <formula>AND(TODAY()&gt;=BM$5,TODAY()&lt;BN$5)</formula>
    </cfRule>
  </conditionalFormatting>
  <conditionalFormatting sqref="BM14:BR14">
    <cfRule type="expression" dxfId="161" priority="163">
      <formula>AND(タスク_開始&lt;=BM$5,ROUNDDOWN((タスク_終了-タスク_開始+1)*タスク_進捗状況,0)+タスク_開始-1&gt;=BM$5)</formula>
    </cfRule>
    <cfRule type="expression" dxfId="160" priority="164" stopIfTrue="1">
      <formula>AND(タスク_終了&gt;=BM$5,タスク_開始&lt;BN$5)</formula>
    </cfRule>
  </conditionalFormatting>
  <conditionalFormatting sqref="BM81:BR81">
    <cfRule type="expression" dxfId="159" priority="162">
      <formula>AND(TODAY()&gt;=BM$5,TODAY()&lt;BN$5)</formula>
    </cfRule>
  </conditionalFormatting>
  <conditionalFormatting sqref="BM81:BR81">
    <cfRule type="expression" dxfId="158" priority="160">
      <formula>AND(タスク_開始&lt;=BM$5,ROUNDDOWN((タスク_終了-タスク_開始+1)*タスク_進捗状況,0)+タスク_開始-1&gt;=BM$5)</formula>
    </cfRule>
    <cfRule type="expression" dxfId="157" priority="161" stopIfTrue="1">
      <formula>AND(タスク_終了&gt;=BM$5,タスク_開始&lt;BN$5)</formula>
    </cfRule>
  </conditionalFormatting>
  <conditionalFormatting sqref="BM82:BR82">
    <cfRule type="expression" dxfId="156" priority="159">
      <formula>AND(TODAY()&gt;=BM$5,TODAY()&lt;BN$5)</formula>
    </cfRule>
  </conditionalFormatting>
  <conditionalFormatting sqref="BM82:BR82">
    <cfRule type="expression" dxfId="155" priority="157">
      <formula>AND(タスク_開始&lt;=BM$5,ROUNDDOWN((タスク_終了-タスク_開始+1)*タスク_進捗状況,0)+タスク_開始-1&gt;=BM$5)</formula>
    </cfRule>
    <cfRule type="expression" dxfId="154" priority="158" stopIfTrue="1">
      <formula>AND(タスク_終了&gt;=BM$5,タスク_開始&lt;BN$5)</formula>
    </cfRule>
  </conditionalFormatting>
  <conditionalFormatting sqref="BM83:BR83">
    <cfRule type="expression" dxfId="153" priority="156">
      <formula>AND(TODAY()&gt;=BM$5,TODAY()&lt;BN$5)</formula>
    </cfRule>
  </conditionalFormatting>
  <conditionalFormatting sqref="BM83:BR83">
    <cfRule type="expression" dxfId="152" priority="154">
      <formula>AND(タスク_開始&lt;=BM$5,ROUNDDOWN((タスク_終了-タスク_開始+1)*タスク_進捗状況,0)+タスク_開始-1&gt;=BM$5)</formula>
    </cfRule>
    <cfRule type="expression" dxfId="151" priority="155" stopIfTrue="1">
      <formula>AND(タスク_終了&gt;=BM$5,タスク_開始&lt;BN$5)</formula>
    </cfRule>
  </conditionalFormatting>
  <conditionalFormatting sqref="BM84:BR84">
    <cfRule type="expression" dxfId="150" priority="153">
      <formula>AND(TODAY()&gt;=BM$5,TODAY()&lt;BN$5)</formula>
    </cfRule>
  </conditionalFormatting>
  <conditionalFormatting sqref="BM84:BR84">
    <cfRule type="expression" dxfId="149" priority="151">
      <formula>AND(タスク_開始&lt;=BM$5,ROUNDDOWN((タスク_終了-タスク_開始+1)*タスク_進捗状況,0)+タスク_開始-1&gt;=BM$5)</formula>
    </cfRule>
    <cfRule type="expression" dxfId="148" priority="152" stopIfTrue="1">
      <formula>AND(タスク_終了&gt;=BM$5,タスク_開始&lt;BN$5)</formula>
    </cfRule>
  </conditionalFormatting>
  <conditionalFormatting sqref="BM85:BR85">
    <cfRule type="expression" dxfId="147" priority="150">
      <formula>AND(TODAY()&gt;=BM$5,TODAY()&lt;BN$5)</formula>
    </cfRule>
  </conditionalFormatting>
  <conditionalFormatting sqref="BM85:BR85">
    <cfRule type="expression" dxfId="146" priority="148">
      <formula>AND(タスク_開始&lt;=BM$5,ROUNDDOWN((タスク_終了-タスク_開始+1)*タスク_進捗状況,0)+タスク_開始-1&gt;=BM$5)</formula>
    </cfRule>
    <cfRule type="expression" dxfId="145" priority="149" stopIfTrue="1">
      <formula>AND(タスク_終了&gt;=BM$5,タスク_開始&lt;BN$5)</formula>
    </cfRule>
  </conditionalFormatting>
  <conditionalFormatting sqref="BM86:BR86">
    <cfRule type="expression" dxfId="144" priority="147">
      <formula>AND(TODAY()&gt;=BM$5,TODAY()&lt;BN$5)</formula>
    </cfRule>
  </conditionalFormatting>
  <conditionalFormatting sqref="BM86:BR86">
    <cfRule type="expression" dxfId="143" priority="145">
      <formula>AND(タスク_開始&lt;=BM$5,ROUNDDOWN((タスク_終了-タスク_開始+1)*タスク_進捗状況,0)+タスク_開始-1&gt;=BM$5)</formula>
    </cfRule>
    <cfRule type="expression" dxfId="142" priority="146" stopIfTrue="1">
      <formula>AND(タスク_終了&gt;=BM$5,タスク_開始&lt;BN$5)</formula>
    </cfRule>
  </conditionalFormatting>
  <conditionalFormatting sqref="BM87:BR87">
    <cfRule type="expression" dxfId="141" priority="144">
      <formula>AND(TODAY()&gt;=BM$5,TODAY()&lt;BN$5)</formula>
    </cfRule>
  </conditionalFormatting>
  <conditionalFormatting sqref="BM87:BR87">
    <cfRule type="expression" dxfId="140" priority="142">
      <formula>AND(タスク_開始&lt;=BM$5,ROUNDDOWN((タスク_終了-タスク_開始+1)*タスク_進捗状況,0)+タスク_開始-1&gt;=BM$5)</formula>
    </cfRule>
    <cfRule type="expression" dxfId="139" priority="143" stopIfTrue="1">
      <formula>AND(タスク_終了&gt;=BM$5,タスク_開始&lt;BN$5)</formula>
    </cfRule>
  </conditionalFormatting>
  <conditionalFormatting sqref="BM88:BR88">
    <cfRule type="expression" dxfId="138" priority="141">
      <formula>AND(TODAY()&gt;=BM$5,TODAY()&lt;BN$5)</formula>
    </cfRule>
  </conditionalFormatting>
  <conditionalFormatting sqref="BM88:BR88">
    <cfRule type="expression" dxfId="137" priority="139">
      <formula>AND(タスク_開始&lt;=BM$5,ROUNDDOWN((タスク_終了-タスク_開始+1)*タスク_進捗状況,0)+タスク_開始-1&gt;=BM$5)</formula>
    </cfRule>
    <cfRule type="expression" dxfId="136" priority="140" stopIfTrue="1">
      <formula>AND(タスク_終了&gt;=BM$5,タスク_開始&lt;BN$5)</formula>
    </cfRule>
  </conditionalFormatting>
  <conditionalFormatting sqref="BM89:BR89">
    <cfRule type="expression" dxfId="135" priority="138">
      <formula>AND(TODAY()&gt;=BM$5,TODAY()&lt;BN$5)</formula>
    </cfRule>
  </conditionalFormatting>
  <conditionalFormatting sqref="BM89:BR89">
    <cfRule type="expression" dxfId="134" priority="136">
      <formula>AND(タスク_開始&lt;=BM$5,ROUNDDOWN((タスク_終了-タスク_開始+1)*タスク_進捗状況,0)+タスク_開始-1&gt;=BM$5)</formula>
    </cfRule>
    <cfRule type="expression" dxfId="133" priority="137" stopIfTrue="1">
      <formula>AND(タスク_終了&gt;=BM$5,タスク_開始&lt;BN$5)</formula>
    </cfRule>
  </conditionalFormatting>
  <conditionalFormatting sqref="BM22:BR25">
    <cfRule type="expression" dxfId="132" priority="135">
      <formula>AND(TODAY()&gt;=BM$5,TODAY()&lt;BN$5)</formula>
    </cfRule>
  </conditionalFormatting>
  <conditionalFormatting sqref="BM22:BR25">
    <cfRule type="expression" dxfId="131" priority="133">
      <formula>AND(タスク_開始&lt;=BM$5,ROUNDDOWN((タスク_終了-タスク_開始+1)*タスク_進捗状況,0)+タスク_開始-1&gt;=BM$5)</formula>
    </cfRule>
    <cfRule type="expression" dxfId="130" priority="134" stopIfTrue="1">
      <formula>AND(タスク_終了&gt;=BM$5,タスク_開始&lt;BN$5)</formula>
    </cfRule>
  </conditionalFormatting>
  <conditionalFormatting sqref="BM21:BR21">
    <cfRule type="expression" dxfId="129" priority="132">
      <formula>AND(TODAY()&gt;=BM$5,TODAY()&lt;BN$5)</formula>
    </cfRule>
  </conditionalFormatting>
  <conditionalFormatting sqref="BM21:BR21">
    <cfRule type="expression" dxfId="128" priority="130">
      <formula>AND(タスク_開始&lt;=BM$5,ROUNDDOWN((タスク_終了-タスク_開始+1)*タスク_進捗状況,0)+タスク_開始-1&gt;=BM$5)</formula>
    </cfRule>
    <cfRule type="expression" dxfId="127" priority="131" stopIfTrue="1">
      <formula>AND(タスク_終了&gt;=BM$5,タスク_開始&lt;BN$5)</formula>
    </cfRule>
  </conditionalFormatting>
  <conditionalFormatting sqref="BM48:BR49">
    <cfRule type="expression" dxfId="126" priority="129">
      <formula>AND(TODAY()&gt;=BM$5,TODAY()&lt;BN$5)</formula>
    </cfRule>
  </conditionalFormatting>
  <conditionalFormatting sqref="BM48:BR49">
    <cfRule type="expression" dxfId="125" priority="127">
      <formula>AND(タスク_開始&lt;=BM$5,ROUNDDOWN((タスク_終了-タスク_開始+1)*タスク_進捗状況,0)+タスク_開始-1&gt;=BM$5)</formula>
    </cfRule>
    <cfRule type="expression" dxfId="124" priority="128" stopIfTrue="1">
      <formula>AND(タスク_終了&gt;=BM$5,タスク_開始&lt;BN$5)</formula>
    </cfRule>
  </conditionalFormatting>
  <conditionalFormatting sqref="BS5:BX13 BS15:BX20 BS26:BX47 BS50:BX80">
    <cfRule type="expression" dxfId="123" priority="126">
      <formula>AND(TODAY()&gt;=BS$5,TODAY()&lt;BT$5)</formula>
    </cfRule>
  </conditionalFormatting>
  <conditionalFormatting sqref="BS7:BX13 BS15:BX20 BS26:BX47 BS50:BX80">
    <cfRule type="expression" dxfId="122" priority="124">
      <formula>AND(タスク_開始&lt;=BS$5,ROUNDDOWN((タスク_終了-タスク_開始+1)*タスク_進捗状況,0)+タスク_開始-1&gt;=BS$5)</formula>
    </cfRule>
    <cfRule type="expression" dxfId="121" priority="125" stopIfTrue="1">
      <formula>AND(タスク_終了&gt;=BS$5,タスク_開始&lt;BT$5)</formula>
    </cfRule>
  </conditionalFormatting>
  <conditionalFormatting sqref="BS14:BX14">
    <cfRule type="expression" dxfId="120" priority="123">
      <formula>AND(TODAY()&gt;=BS$5,TODAY()&lt;BT$5)</formula>
    </cfRule>
  </conditionalFormatting>
  <conditionalFormatting sqref="BS14:BX14">
    <cfRule type="expression" dxfId="119" priority="121">
      <formula>AND(タスク_開始&lt;=BS$5,ROUNDDOWN((タスク_終了-タスク_開始+1)*タスク_進捗状況,0)+タスク_開始-1&gt;=BS$5)</formula>
    </cfRule>
    <cfRule type="expression" dxfId="118" priority="122" stopIfTrue="1">
      <formula>AND(タスク_終了&gt;=BS$5,タスク_開始&lt;BT$5)</formula>
    </cfRule>
  </conditionalFormatting>
  <conditionalFormatting sqref="BS81:BX81">
    <cfRule type="expression" dxfId="117" priority="120">
      <formula>AND(TODAY()&gt;=BS$5,TODAY()&lt;BT$5)</formula>
    </cfRule>
  </conditionalFormatting>
  <conditionalFormatting sqref="BS81:BX81">
    <cfRule type="expression" dxfId="116" priority="118">
      <formula>AND(タスク_開始&lt;=BS$5,ROUNDDOWN((タスク_終了-タスク_開始+1)*タスク_進捗状況,0)+タスク_開始-1&gt;=BS$5)</formula>
    </cfRule>
    <cfRule type="expression" dxfId="115" priority="119" stopIfTrue="1">
      <formula>AND(タスク_終了&gt;=BS$5,タスク_開始&lt;BT$5)</formula>
    </cfRule>
  </conditionalFormatting>
  <conditionalFormatting sqref="BS82:BX82">
    <cfRule type="expression" dxfId="114" priority="117">
      <formula>AND(TODAY()&gt;=BS$5,TODAY()&lt;BT$5)</formula>
    </cfRule>
  </conditionalFormatting>
  <conditionalFormatting sqref="BS82:BX82">
    <cfRule type="expression" dxfId="113" priority="115">
      <formula>AND(タスク_開始&lt;=BS$5,ROUNDDOWN((タスク_終了-タスク_開始+1)*タスク_進捗状況,0)+タスク_開始-1&gt;=BS$5)</formula>
    </cfRule>
    <cfRule type="expression" dxfId="112" priority="116" stopIfTrue="1">
      <formula>AND(タスク_終了&gt;=BS$5,タスク_開始&lt;BT$5)</formula>
    </cfRule>
  </conditionalFormatting>
  <conditionalFormatting sqref="BS83:BX83">
    <cfRule type="expression" dxfId="111" priority="114">
      <formula>AND(TODAY()&gt;=BS$5,TODAY()&lt;BT$5)</formula>
    </cfRule>
  </conditionalFormatting>
  <conditionalFormatting sqref="BS83:BX83">
    <cfRule type="expression" dxfId="110" priority="112">
      <formula>AND(タスク_開始&lt;=BS$5,ROUNDDOWN((タスク_終了-タスク_開始+1)*タスク_進捗状況,0)+タスク_開始-1&gt;=BS$5)</formula>
    </cfRule>
    <cfRule type="expression" dxfId="109" priority="113" stopIfTrue="1">
      <formula>AND(タスク_終了&gt;=BS$5,タスク_開始&lt;BT$5)</formula>
    </cfRule>
  </conditionalFormatting>
  <conditionalFormatting sqref="BS84:BX84">
    <cfRule type="expression" dxfId="108" priority="111">
      <formula>AND(TODAY()&gt;=BS$5,TODAY()&lt;BT$5)</formula>
    </cfRule>
  </conditionalFormatting>
  <conditionalFormatting sqref="BS84:BX84">
    <cfRule type="expression" dxfId="107" priority="109">
      <formula>AND(タスク_開始&lt;=BS$5,ROUNDDOWN((タスク_終了-タスク_開始+1)*タスク_進捗状況,0)+タスク_開始-1&gt;=BS$5)</formula>
    </cfRule>
    <cfRule type="expression" dxfId="106" priority="110" stopIfTrue="1">
      <formula>AND(タスク_終了&gt;=BS$5,タスク_開始&lt;BT$5)</formula>
    </cfRule>
  </conditionalFormatting>
  <conditionalFormatting sqref="BS85:BX85">
    <cfRule type="expression" dxfId="105" priority="108">
      <formula>AND(TODAY()&gt;=BS$5,TODAY()&lt;BT$5)</formula>
    </cfRule>
  </conditionalFormatting>
  <conditionalFormatting sqref="BS85:BX85">
    <cfRule type="expression" dxfId="104" priority="106">
      <formula>AND(タスク_開始&lt;=BS$5,ROUNDDOWN((タスク_終了-タスク_開始+1)*タスク_進捗状況,0)+タスク_開始-1&gt;=BS$5)</formula>
    </cfRule>
    <cfRule type="expression" dxfId="103" priority="107" stopIfTrue="1">
      <formula>AND(タスク_終了&gt;=BS$5,タスク_開始&lt;BT$5)</formula>
    </cfRule>
  </conditionalFormatting>
  <conditionalFormatting sqref="BS86:BX86">
    <cfRule type="expression" dxfId="102" priority="105">
      <formula>AND(TODAY()&gt;=BS$5,TODAY()&lt;BT$5)</formula>
    </cfRule>
  </conditionalFormatting>
  <conditionalFormatting sqref="BS86:BX86">
    <cfRule type="expression" dxfId="101" priority="103">
      <formula>AND(タスク_開始&lt;=BS$5,ROUNDDOWN((タスク_終了-タスク_開始+1)*タスク_進捗状況,0)+タスク_開始-1&gt;=BS$5)</formula>
    </cfRule>
    <cfRule type="expression" dxfId="100" priority="104" stopIfTrue="1">
      <formula>AND(タスク_終了&gt;=BS$5,タスク_開始&lt;BT$5)</formula>
    </cfRule>
  </conditionalFormatting>
  <conditionalFormatting sqref="BS87:BX87">
    <cfRule type="expression" dxfId="99" priority="102">
      <formula>AND(TODAY()&gt;=BS$5,TODAY()&lt;BT$5)</formula>
    </cfRule>
  </conditionalFormatting>
  <conditionalFormatting sqref="BS87:BX87">
    <cfRule type="expression" dxfId="98" priority="100">
      <formula>AND(タスク_開始&lt;=BS$5,ROUNDDOWN((タスク_終了-タスク_開始+1)*タスク_進捗状況,0)+タスク_開始-1&gt;=BS$5)</formula>
    </cfRule>
    <cfRule type="expression" dxfId="97" priority="101" stopIfTrue="1">
      <formula>AND(タスク_終了&gt;=BS$5,タスク_開始&lt;BT$5)</formula>
    </cfRule>
  </conditionalFormatting>
  <conditionalFormatting sqref="BS88:BX88">
    <cfRule type="expression" dxfId="96" priority="99">
      <formula>AND(TODAY()&gt;=BS$5,TODAY()&lt;BT$5)</formula>
    </cfRule>
  </conditionalFormatting>
  <conditionalFormatting sqref="BS88:BX88">
    <cfRule type="expression" dxfId="95" priority="97">
      <formula>AND(タスク_開始&lt;=BS$5,ROUNDDOWN((タスク_終了-タスク_開始+1)*タスク_進捗状況,0)+タスク_開始-1&gt;=BS$5)</formula>
    </cfRule>
    <cfRule type="expression" dxfId="94" priority="98" stopIfTrue="1">
      <formula>AND(タスク_終了&gt;=BS$5,タスク_開始&lt;BT$5)</formula>
    </cfRule>
  </conditionalFormatting>
  <conditionalFormatting sqref="BS89:BX89">
    <cfRule type="expression" dxfId="93" priority="96">
      <formula>AND(TODAY()&gt;=BS$5,TODAY()&lt;BT$5)</formula>
    </cfRule>
  </conditionalFormatting>
  <conditionalFormatting sqref="BS89:BX89">
    <cfRule type="expression" dxfId="92" priority="94">
      <formula>AND(タスク_開始&lt;=BS$5,ROUNDDOWN((タスク_終了-タスク_開始+1)*タスク_進捗状況,0)+タスク_開始-1&gt;=BS$5)</formula>
    </cfRule>
    <cfRule type="expression" dxfId="91" priority="95" stopIfTrue="1">
      <formula>AND(タスク_終了&gt;=BS$5,タスク_開始&lt;BT$5)</formula>
    </cfRule>
  </conditionalFormatting>
  <conditionalFormatting sqref="BS22:BX25">
    <cfRule type="expression" dxfId="90" priority="93">
      <formula>AND(TODAY()&gt;=BS$5,TODAY()&lt;BT$5)</formula>
    </cfRule>
  </conditionalFormatting>
  <conditionalFormatting sqref="BS22:BX25">
    <cfRule type="expression" dxfId="89" priority="91">
      <formula>AND(タスク_開始&lt;=BS$5,ROUNDDOWN((タスク_終了-タスク_開始+1)*タスク_進捗状況,0)+タスク_開始-1&gt;=BS$5)</formula>
    </cfRule>
    <cfRule type="expression" dxfId="88" priority="92" stopIfTrue="1">
      <formula>AND(タスク_終了&gt;=BS$5,タスク_開始&lt;BT$5)</formula>
    </cfRule>
  </conditionalFormatting>
  <conditionalFormatting sqref="BS21:BX21">
    <cfRule type="expression" dxfId="87" priority="90">
      <formula>AND(TODAY()&gt;=BS$5,TODAY()&lt;BT$5)</formula>
    </cfRule>
  </conditionalFormatting>
  <conditionalFormatting sqref="BS21:BX21">
    <cfRule type="expression" dxfId="86" priority="88">
      <formula>AND(タスク_開始&lt;=BS$5,ROUNDDOWN((タスク_終了-タスク_開始+1)*タスク_進捗状況,0)+タスク_開始-1&gt;=BS$5)</formula>
    </cfRule>
    <cfRule type="expression" dxfId="85" priority="89" stopIfTrue="1">
      <formula>AND(タスク_終了&gt;=BS$5,タスク_開始&lt;BT$5)</formula>
    </cfRule>
  </conditionalFormatting>
  <conditionalFormatting sqref="BS48:BX49">
    <cfRule type="expression" dxfId="84" priority="87">
      <formula>AND(TODAY()&gt;=BS$5,TODAY()&lt;BT$5)</formula>
    </cfRule>
  </conditionalFormatting>
  <conditionalFormatting sqref="BS48:BX49">
    <cfRule type="expression" dxfId="83" priority="85">
      <formula>AND(タスク_開始&lt;=BS$5,ROUNDDOWN((タスク_終了-タスク_開始+1)*タスク_進捗状況,0)+タスク_開始-1&gt;=BS$5)</formula>
    </cfRule>
    <cfRule type="expression" dxfId="82" priority="86" stopIfTrue="1">
      <formula>AND(タスク_終了&gt;=BS$5,タスク_開始&lt;BT$5)</formula>
    </cfRule>
  </conditionalFormatting>
  <conditionalFormatting sqref="BY5:CD13 BY15:CD20 BY26:CD47 BY50:CD80">
    <cfRule type="expression" dxfId="81" priority="84">
      <formula>AND(TODAY()&gt;=BY$5,TODAY()&lt;BZ$5)</formula>
    </cfRule>
  </conditionalFormatting>
  <conditionalFormatting sqref="BY7:CD13 BY15:CD20 BY26:CD47 BY50:CD80">
    <cfRule type="expression" dxfId="80" priority="82">
      <formula>AND(タスク_開始&lt;=BY$5,ROUNDDOWN((タスク_終了-タスク_開始+1)*タスク_進捗状況,0)+タスク_開始-1&gt;=BY$5)</formula>
    </cfRule>
    <cfRule type="expression" dxfId="79" priority="83" stopIfTrue="1">
      <formula>AND(タスク_終了&gt;=BY$5,タスク_開始&lt;BZ$5)</formula>
    </cfRule>
  </conditionalFormatting>
  <conditionalFormatting sqref="BY14:CD14">
    <cfRule type="expression" dxfId="78" priority="81">
      <formula>AND(TODAY()&gt;=BY$5,TODAY()&lt;BZ$5)</formula>
    </cfRule>
  </conditionalFormatting>
  <conditionalFormatting sqref="BY14:CD14">
    <cfRule type="expression" dxfId="77" priority="79">
      <formula>AND(タスク_開始&lt;=BY$5,ROUNDDOWN((タスク_終了-タスク_開始+1)*タスク_進捗状況,0)+タスク_開始-1&gt;=BY$5)</formula>
    </cfRule>
    <cfRule type="expression" dxfId="76" priority="80" stopIfTrue="1">
      <formula>AND(タスク_終了&gt;=BY$5,タスク_開始&lt;BZ$5)</formula>
    </cfRule>
  </conditionalFormatting>
  <conditionalFormatting sqref="BY81:CD81">
    <cfRule type="expression" dxfId="75" priority="78">
      <formula>AND(TODAY()&gt;=BY$5,TODAY()&lt;BZ$5)</formula>
    </cfRule>
  </conditionalFormatting>
  <conditionalFormatting sqref="BY81:CD81">
    <cfRule type="expression" dxfId="74" priority="76">
      <formula>AND(タスク_開始&lt;=BY$5,ROUNDDOWN((タスク_終了-タスク_開始+1)*タスク_進捗状況,0)+タスク_開始-1&gt;=BY$5)</formula>
    </cfRule>
    <cfRule type="expression" dxfId="73" priority="77" stopIfTrue="1">
      <formula>AND(タスク_終了&gt;=BY$5,タスク_開始&lt;BZ$5)</formula>
    </cfRule>
  </conditionalFormatting>
  <conditionalFormatting sqref="BY82:CD82">
    <cfRule type="expression" dxfId="72" priority="75">
      <formula>AND(TODAY()&gt;=BY$5,TODAY()&lt;BZ$5)</formula>
    </cfRule>
  </conditionalFormatting>
  <conditionalFormatting sqref="BY82:CD82">
    <cfRule type="expression" dxfId="71" priority="73">
      <formula>AND(タスク_開始&lt;=BY$5,ROUNDDOWN((タスク_終了-タスク_開始+1)*タスク_進捗状況,0)+タスク_開始-1&gt;=BY$5)</formula>
    </cfRule>
    <cfRule type="expression" dxfId="70" priority="74" stopIfTrue="1">
      <formula>AND(タスク_終了&gt;=BY$5,タスク_開始&lt;BZ$5)</formula>
    </cfRule>
  </conditionalFormatting>
  <conditionalFormatting sqref="BY83:CD83">
    <cfRule type="expression" dxfId="69" priority="72">
      <formula>AND(TODAY()&gt;=BY$5,TODAY()&lt;BZ$5)</formula>
    </cfRule>
  </conditionalFormatting>
  <conditionalFormatting sqref="BY83:CD83">
    <cfRule type="expression" dxfId="68" priority="70">
      <formula>AND(タスク_開始&lt;=BY$5,ROUNDDOWN((タスク_終了-タスク_開始+1)*タスク_進捗状況,0)+タスク_開始-1&gt;=BY$5)</formula>
    </cfRule>
    <cfRule type="expression" dxfId="67" priority="71" stopIfTrue="1">
      <formula>AND(タスク_終了&gt;=BY$5,タスク_開始&lt;BZ$5)</formula>
    </cfRule>
  </conditionalFormatting>
  <conditionalFormatting sqref="BY84:CD84">
    <cfRule type="expression" dxfId="66" priority="69">
      <formula>AND(TODAY()&gt;=BY$5,TODAY()&lt;BZ$5)</formula>
    </cfRule>
  </conditionalFormatting>
  <conditionalFormatting sqref="BY84:CD84">
    <cfRule type="expression" dxfId="65" priority="67">
      <formula>AND(タスク_開始&lt;=BY$5,ROUNDDOWN((タスク_終了-タスク_開始+1)*タスク_進捗状況,0)+タスク_開始-1&gt;=BY$5)</formula>
    </cfRule>
    <cfRule type="expression" dxfId="64" priority="68" stopIfTrue="1">
      <formula>AND(タスク_終了&gt;=BY$5,タスク_開始&lt;BZ$5)</formula>
    </cfRule>
  </conditionalFormatting>
  <conditionalFormatting sqref="BY85:CD85">
    <cfRule type="expression" dxfId="63" priority="66">
      <formula>AND(TODAY()&gt;=BY$5,TODAY()&lt;BZ$5)</formula>
    </cfRule>
  </conditionalFormatting>
  <conditionalFormatting sqref="BY85:CD85">
    <cfRule type="expression" dxfId="62" priority="64">
      <formula>AND(タスク_開始&lt;=BY$5,ROUNDDOWN((タスク_終了-タスク_開始+1)*タスク_進捗状況,0)+タスク_開始-1&gt;=BY$5)</formula>
    </cfRule>
    <cfRule type="expression" dxfId="61" priority="65" stopIfTrue="1">
      <formula>AND(タスク_終了&gt;=BY$5,タスク_開始&lt;BZ$5)</formula>
    </cfRule>
  </conditionalFormatting>
  <conditionalFormatting sqref="BY86:CD86">
    <cfRule type="expression" dxfId="60" priority="63">
      <formula>AND(TODAY()&gt;=BY$5,TODAY()&lt;BZ$5)</formula>
    </cfRule>
  </conditionalFormatting>
  <conditionalFormatting sqref="BY86:CD86">
    <cfRule type="expression" dxfId="59" priority="61">
      <formula>AND(タスク_開始&lt;=BY$5,ROUNDDOWN((タスク_終了-タスク_開始+1)*タスク_進捗状況,0)+タスク_開始-1&gt;=BY$5)</formula>
    </cfRule>
    <cfRule type="expression" dxfId="58" priority="62" stopIfTrue="1">
      <formula>AND(タスク_終了&gt;=BY$5,タスク_開始&lt;BZ$5)</formula>
    </cfRule>
  </conditionalFormatting>
  <conditionalFormatting sqref="BY87:CD87">
    <cfRule type="expression" dxfId="57" priority="60">
      <formula>AND(TODAY()&gt;=BY$5,TODAY()&lt;BZ$5)</formula>
    </cfRule>
  </conditionalFormatting>
  <conditionalFormatting sqref="BY87:CD87">
    <cfRule type="expression" dxfId="56" priority="58">
      <formula>AND(タスク_開始&lt;=BY$5,ROUNDDOWN((タスク_終了-タスク_開始+1)*タスク_進捗状況,0)+タスク_開始-1&gt;=BY$5)</formula>
    </cfRule>
    <cfRule type="expression" dxfId="55" priority="59" stopIfTrue="1">
      <formula>AND(タスク_終了&gt;=BY$5,タスク_開始&lt;BZ$5)</formula>
    </cfRule>
  </conditionalFormatting>
  <conditionalFormatting sqref="BY88:CD88">
    <cfRule type="expression" dxfId="54" priority="57">
      <formula>AND(TODAY()&gt;=BY$5,TODAY()&lt;BZ$5)</formula>
    </cfRule>
  </conditionalFormatting>
  <conditionalFormatting sqref="BY88:CD88">
    <cfRule type="expression" dxfId="53" priority="55">
      <formula>AND(タスク_開始&lt;=BY$5,ROUNDDOWN((タスク_終了-タスク_開始+1)*タスク_進捗状況,0)+タスク_開始-1&gt;=BY$5)</formula>
    </cfRule>
    <cfRule type="expression" dxfId="52" priority="56" stopIfTrue="1">
      <formula>AND(タスク_終了&gt;=BY$5,タスク_開始&lt;BZ$5)</formula>
    </cfRule>
  </conditionalFormatting>
  <conditionalFormatting sqref="BY89:CD89">
    <cfRule type="expression" dxfId="51" priority="54">
      <formula>AND(TODAY()&gt;=BY$5,TODAY()&lt;BZ$5)</formula>
    </cfRule>
  </conditionalFormatting>
  <conditionalFormatting sqref="BY89:CD89">
    <cfRule type="expression" dxfId="50" priority="52">
      <formula>AND(タスク_開始&lt;=BY$5,ROUNDDOWN((タスク_終了-タスク_開始+1)*タスク_進捗状況,0)+タスク_開始-1&gt;=BY$5)</formula>
    </cfRule>
    <cfRule type="expression" dxfId="49" priority="53" stopIfTrue="1">
      <formula>AND(タスク_終了&gt;=BY$5,タスク_開始&lt;BZ$5)</formula>
    </cfRule>
  </conditionalFormatting>
  <conditionalFormatting sqref="BY22:CD25">
    <cfRule type="expression" dxfId="48" priority="51">
      <formula>AND(TODAY()&gt;=BY$5,TODAY()&lt;BZ$5)</formula>
    </cfRule>
  </conditionalFormatting>
  <conditionalFormatting sqref="BY22:CD25">
    <cfRule type="expression" dxfId="47" priority="49">
      <formula>AND(タスク_開始&lt;=BY$5,ROUNDDOWN((タスク_終了-タスク_開始+1)*タスク_進捗状況,0)+タスク_開始-1&gt;=BY$5)</formula>
    </cfRule>
    <cfRule type="expression" dxfId="46" priority="50" stopIfTrue="1">
      <formula>AND(タスク_終了&gt;=BY$5,タスク_開始&lt;BZ$5)</formula>
    </cfRule>
  </conditionalFormatting>
  <conditionalFormatting sqref="BY21:CD21">
    <cfRule type="expression" dxfId="45" priority="48">
      <formula>AND(TODAY()&gt;=BY$5,TODAY()&lt;BZ$5)</formula>
    </cfRule>
  </conditionalFormatting>
  <conditionalFormatting sqref="BY21:CD21">
    <cfRule type="expression" dxfId="44" priority="46">
      <formula>AND(タスク_開始&lt;=BY$5,ROUNDDOWN((タスク_終了-タスク_開始+1)*タスク_進捗状況,0)+タスク_開始-1&gt;=BY$5)</formula>
    </cfRule>
    <cfRule type="expression" dxfId="43" priority="47" stopIfTrue="1">
      <formula>AND(タスク_終了&gt;=BY$5,タスク_開始&lt;BZ$5)</formula>
    </cfRule>
  </conditionalFormatting>
  <conditionalFormatting sqref="BY48:CD49">
    <cfRule type="expression" dxfId="42" priority="45">
      <formula>AND(TODAY()&gt;=BY$5,TODAY()&lt;BZ$5)</formula>
    </cfRule>
  </conditionalFormatting>
  <conditionalFormatting sqref="BY48:CD49">
    <cfRule type="expression" dxfId="41" priority="43">
      <formula>AND(タスク_開始&lt;=BY$5,ROUNDDOWN((タスク_終了-タスク_開始+1)*タスク_進捗状況,0)+タスク_開始-1&gt;=BY$5)</formula>
    </cfRule>
    <cfRule type="expression" dxfId="40" priority="44" stopIfTrue="1">
      <formula>AND(タスク_終了&gt;=BY$5,タスク_開始&lt;BZ$5)</formula>
    </cfRule>
  </conditionalFormatting>
  <conditionalFormatting sqref="CE5:CK13 CE15:CK20 CE26:CK47 CE50:CK80">
    <cfRule type="expression" dxfId="39" priority="42">
      <formula>AND(TODAY()&gt;=CE$5,TODAY()&lt;CF$5)</formula>
    </cfRule>
  </conditionalFormatting>
  <conditionalFormatting sqref="CE7:CK13 CE15:CK20 CE26:CK47 CE50:CK80">
    <cfRule type="expression" dxfId="38" priority="40">
      <formula>AND(タスク_開始&lt;=CE$5,ROUNDDOWN((タスク_終了-タスク_開始+1)*タスク_進捗状況,0)+タスク_開始-1&gt;=CE$5)</formula>
    </cfRule>
    <cfRule type="expression" dxfId="37" priority="41" stopIfTrue="1">
      <formula>AND(タスク_終了&gt;=CE$5,タスク_開始&lt;CF$5)</formula>
    </cfRule>
  </conditionalFormatting>
  <conditionalFormatting sqref="CE14:CK14">
    <cfRule type="expression" dxfId="36" priority="39">
      <formula>AND(TODAY()&gt;=CE$5,TODAY()&lt;CF$5)</formula>
    </cfRule>
  </conditionalFormatting>
  <conditionalFormatting sqref="CE14:CK14">
    <cfRule type="expression" dxfId="35" priority="37">
      <formula>AND(タスク_開始&lt;=CE$5,ROUNDDOWN((タスク_終了-タスク_開始+1)*タスク_進捗状況,0)+タスク_開始-1&gt;=CE$5)</formula>
    </cfRule>
    <cfRule type="expression" dxfId="34" priority="38" stopIfTrue="1">
      <formula>AND(タスク_終了&gt;=CE$5,タスク_開始&lt;CF$5)</formula>
    </cfRule>
  </conditionalFormatting>
  <conditionalFormatting sqref="CE81:CK81">
    <cfRule type="expression" dxfId="33" priority="36">
      <formula>AND(TODAY()&gt;=CE$5,TODAY()&lt;CF$5)</formula>
    </cfRule>
  </conditionalFormatting>
  <conditionalFormatting sqref="CE81:CK81">
    <cfRule type="expression" dxfId="32" priority="34">
      <formula>AND(タスク_開始&lt;=CE$5,ROUNDDOWN((タスク_終了-タスク_開始+1)*タスク_進捗状況,0)+タスク_開始-1&gt;=CE$5)</formula>
    </cfRule>
    <cfRule type="expression" dxfId="31" priority="35" stopIfTrue="1">
      <formula>AND(タスク_終了&gt;=CE$5,タスク_開始&lt;CF$5)</formula>
    </cfRule>
  </conditionalFormatting>
  <conditionalFormatting sqref="CE82:CK82">
    <cfRule type="expression" dxfId="30" priority="33">
      <formula>AND(TODAY()&gt;=CE$5,TODAY()&lt;CF$5)</formula>
    </cfRule>
  </conditionalFormatting>
  <conditionalFormatting sqref="CE82:CK82">
    <cfRule type="expression" dxfId="29" priority="31">
      <formula>AND(タスク_開始&lt;=CE$5,ROUNDDOWN((タスク_終了-タスク_開始+1)*タスク_進捗状況,0)+タスク_開始-1&gt;=CE$5)</formula>
    </cfRule>
    <cfRule type="expression" dxfId="28" priority="32" stopIfTrue="1">
      <formula>AND(タスク_終了&gt;=CE$5,タスク_開始&lt;CF$5)</formula>
    </cfRule>
  </conditionalFormatting>
  <conditionalFormatting sqref="CE83:CK83">
    <cfRule type="expression" dxfId="27" priority="30">
      <formula>AND(TODAY()&gt;=CE$5,TODAY()&lt;CF$5)</formula>
    </cfRule>
  </conditionalFormatting>
  <conditionalFormatting sqref="CE83:CK83">
    <cfRule type="expression" dxfId="26" priority="28">
      <formula>AND(タスク_開始&lt;=CE$5,ROUNDDOWN((タスク_終了-タスク_開始+1)*タスク_進捗状況,0)+タスク_開始-1&gt;=CE$5)</formula>
    </cfRule>
    <cfRule type="expression" dxfId="25" priority="29" stopIfTrue="1">
      <formula>AND(タスク_終了&gt;=CE$5,タスク_開始&lt;CF$5)</formula>
    </cfRule>
  </conditionalFormatting>
  <conditionalFormatting sqref="CE84:CK84">
    <cfRule type="expression" dxfId="24" priority="27">
      <formula>AND(TODAY()&gt;=CE$5,TODAY()&lt;CF$5)</formula>
    </cfRule>
  </conditionalFormatting>
  <conditionalFormatting sqref="CE84:CK84">
    <cfRule type="expression" dxfId="23" priority="25">
      <formula>AND(タスク_開始&lt;=CE$5,ROUNDDOWN((タスク_終了-タスク_開始+1)*タスク_進捗状況,0)+タスク_開始-1&gt;=CE$5)</formula>
    </cfRule>
    <cfRule type="expression" dxfId="22" priority="26" stopIfTrue="1">
      <formula>AND(タスク_終了&gt;=CE$5,タスク_開始&lt;CF$5)</formula>
    </cfRule>
  </conditionalFormatting>
  <conditionalFormatting sqref="CE85:CK85">
    <cfRule type="expression" dxfId="21" priority="24">
      <formula>AND(TODAY()&gt;=CE$5,TODAY()&lt;CF$5)</formula>
    </cfRule>
  </conditionalFormatting>
  <conditionalFormatting sqref="CE85:CK85">
    <cfRule type="expression" dxfId="20" priority="22">
      <formula>AND(タスク_開始&lt;=CE$5,ROUNDDOWN((タスク_終了-タスク_開始+1)*タスク_進捗状況,0)+タスク_開始-1&gt;=CE$5)</formula>
    </cfRule>
    <cfRule type="expression" dxfId="19" priority="23" stopIfTrue="1">
      <formula>AND(タスク_終了&gt;=CE$5,タスク_開始&lt;CF$5)</formula>
    </cfRule>
  </conditionalFormatting>
  <conditionalFormatting sqref="CE86:CK86">
    <cfRule type="expression" dxfId="18" priority="21">
      <formula>AND(TODAY()&gt;=CE$5,TODAY()&lt;CF$5)</formula>
    </cfRule>
  </conditionalFormatting>
  <conditionalFormatting sqref="CE86:CK86">
    <cfRule type="expression" dxfId="17" priority="19">
      <formula>AND(タスク_開始&lt;=CE$5,ROUNDDOWN((タスク_終了-タスク_開始+1)*タスク_進捗状況,0)+タスク_開始-1&gt;=CE$5)</formula>
    </cfRule>
    <cfRule type="expression" dxfId="16" priority="20" stopIfTrue="1">
      <formula>AND(タスク_終了&gt;=CE$5,タスク_開始&lt;CF$5)</formula>
    </cfRule>
  </conditionalFormatting>
  <conditionalFormatting sqref="CE87:CK87">
    <cfRule type="expression" dxfId="15" priority="18">
      <formula>AND(TODAY()&gt;=CE$5,TODAY()&lt;CF$5)</formula>
    </cfRule>
  </conditionalFormatting>
  <conditionalFormatting sqref="CE87:CK87">
    <cfRule type="expression" dxfId="14" priority="16">
      <formula>AND(タスク_開始&lt;=CE$5,ROUNDDOWN((タスク_終了-タスク_開始+1)*タスク_進捗状況,0)+タスク_開始-1&gt;=CE$5)</formula>
    </cfRule>
    <cfRule type="expression" dxfId="13" priority="17" stopIfTrue="1">
      <formula>AND(タスク_終了&gt;=CE$5,タスク_開始&lt;CF$5)</formula>
    </cfRule>
  </conditionalFormatting>
  <conditionalFormatting sqref="CE88:CK88">
    <cfRule type="expression" dxfId="12" priority="15">
      <formula>AND(TODAY()&gt;=CE$5,TODAY()&lt;CF$5)</formula>
    </cfRule>
  </conditionalFormatting>
  <conditionalFormatting sqref="CE88:CK88">
    <cfRule type="expression" dxfId="11" priority="13">
      <formula>AND(タスク_開始&lt;=CE$5,ROUNDDOWN((タスク_終了-タスク_開始+1)*タスク_進捗状況,0)+タスク_開始-1&gt;=CE$5)</formula>
    </cfRule>
    <cfRule type="expression" dxfId="10" priority="14" stopIfTrue="1">
      <formula>AND(タスク_終了&gt;=CE$5,タスク_開始&lt;CF$5)</formula>
    </cfRule>
  </conditionalFormatting>
  <conditionalFormatting sqref="CE89:CK89">
    <cfRule type="expression" dxfId="9" priority="12">
      <formula>AND(TODAY()&gt;=CE$5,TODAY()&lt;CF$5)</formula>
    </cfRule>
  </conditionalFormatting>
  <conditionalFormatting sqref="CE89:CK89">
    <cfRule type="expression" dxfId="8" priority="10">
      <formula>AND(タスク_開始&lt;=CE$5,ROUNDDOWN((タスク_終了-タスク_開始+1)*タスク_進捗状況,0)+タスク_開始-1&gt;=CE$5)</formula>
    </cfRule>
    <cfRule type="expression" dxfId="7" priority="11" stopIfTrue="1">
      <formula>AND(タスク_終了&gt;=CE$5,タスク_開始&lt;CF$5)</formula>
    </cfRule>
  </conditionalFormatting>
  <conditionalFormatting sqref="CE22:CK25">
    <cfRule type="expression" dxfId="6" priority="9">
      <formula>AND(TODAY()&gt;=CE$5,TODAY()&lt;CF$5)</formula>
    </cfRule>
  </conditionalFormatting>
  <conditionalFormatting sqref="CE22:CK25">
    <cfRule type="expression" dxfId="5" priority="7">
      <formula>AND(タスク_開始&lt;=CE$5,ROUNDDOWN((タスク_終了-タスク_開始+1)*タスク_進捗状況,0)+タスク_開始-1&gt;=CE$5)</formula>
    </cfRule>
    <cfRule type="expression" dxfId="4" priority="8" stopIfTrue="1">
      <formula>AND(タスク_終了&gt;=CE$5,タスク_開始&lt;CF$5)</formula>
    </cfRule>
  </conditionalFormatting>
  <conditionalFormatting sqref="CE21:CK21">
    <cfRule type="expression" dxfId="3" priority="6">
      <formula>AND(TODAY()&gt;=CE$5,TODAY()&lt;CF$5)</formula>
    </cfRule>
  </conditionalFormatting>
  <conditionalFormatting sqref="CE21:CK21">
    <cfRule type="expression" dxfId="2" priority="4">
      <formula>AND(タスク_開始&lt;=CE$5,ROUNDDOWN((タスク_終了-タスク_開始+1)*タスク_進捗状況,0)+タスク_開始-1&gt;=CE$5)</formula>
    </cfRule>
    <cfRule type="expression" dxfId="1" priority="5" stopIfTrue="1">
      <formula>AND(タスク_終了&gt;=CE$5,タスク_開始&lt;CF$5)</formula>
    </cfRule>
  </conditionalFormatting>
  <conditionalFormatting sqref="CE48:CK49">
    <cfRule type="expression" dxfId="0" priority="3">
      <formula>AND(TODAY()&gt;=CE$5,TODAY()&lt;CF$5)</formula>
    </cfRule>
  </conditionalFormatting>
  <dataValidations disablePrompts="1" count="1">
    <dataValidation type="whole" operator="greaterThanOrEqual" allowBlank="1" showInputMessage="1" promptTitle="週表示" prompt="この数字を変更すると、ガント チャート ビューがスクロールされます。"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paperSize="9" scale="51" fitToHeight="0" orientation="landscape" r:id="rId3"/>
  <headerFooter differentFirst="1" scaleWithDoc="0">
    <oddFooter>Page &amp;P of &amp;N</oddFooter>
  </headerFooter>
  <colBreaks count="1" manualBreakCount="1">
    <brk id="1" max="1048575" man="1"/>
  </colBreak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D7:D13 D15:D20 D26:D47 D50:D80</xm:sqref>
        </x14:conditionalFormatting>
        <x14:conditionalFormatting xmlns:xm="http://schemas.microsoft.com/office/excel/2006/main">
          <x14:cfRule type="dataBar" id="{B856810B-3143-4EB8-9484-D2A8550734EC}">
            <x14:dataBar minLength="0" maxLength="100" gradient="0">
              <x14:cfvo type="num">
                <xm:f>0</xm:f>
              </x14:cfvo>
              <x14:cfvo type="num">
                <xm:f>1</xm:f>
              </x14:cfvo>
              <x14:negativeFillColor rgb="FFFF0000"/>
              <x14:axisColor rgb="FF000000"/>
            </x14:dataBar>
          </x14:cfRule>
          <xm:sqref>D14</xm:sqref>
        </x14:conditionalFormatting>
        <x14:conditionalFormatting xmlns:xm="http://schemas.microsoft.com/office/excel/2006/main">
          <x14:cfRule type="dataBar" id="{A337BCAA-C4DB-4278-82AB-E3F95D3297A1}">
            <x14:dataBar minLength="0" maxLength="100" gradient="0">
              <x14:cfvo type="num">
                <xm:f>0</xm:f>
              </x14:cfvo>
              <x14:cfvo type="num">
                <xm:f>1</xm:f>
              </x14:cfvo>
              <x14:negativeFillColor rgb="FFFF0000"/>
              <x14:axisColor rgb="FF000000"/>
            </x14:dataBar>
          </x14:cfRule>
          <xm:sqref>D81</xm:sqref>
        </x14:conditionalFormatting>
        <x14:conditionalFormatting xmlns:xm="http://schemas.microsoft.com/office/excel/2006/main">
          <x14:cfRule type="dataBar" id="{F8658D12-1BDA-4870-B161-391B486638CA}">
            <x14:dataBar minLength="0" maxLength="100" gradient="0">
              <x14:cfvo type="num">
                <xm:f>0</xm:f>
              </x14:cfvo>
              <x14:cfvo type="num">
                <xm:f>1</xm:f>
              </x14:cfvo>
              <x14:negativeFillColor rgb="FFFF0000"/>
              <x14:axisColor rgb="FF000000"/>
            </x14:dataBar>
          </x14:cfRule>
          <xm:sqref>D82</xm:sqref>
        </x14:conditionalFormatting>
        <x14:conditionalFormatting xmlns:xm="http://schemas.microsoft.com/office/excel/2006/main">
          <x14:cfRule type="dataBar" id="{B0896403-1117-4AAB-B058-74FF98C20B58}">
            <x14:dataBar minLength="0" maxLength="100" gradient="0">
              <x14:cfvo type="num">
                <xm:f>0</xm:f>
              </x14:cfvo>
              <x14:cfvo type="num">
                <xm:f>1</xm:f>
              </x14:cfvo>
              <x14:negativeFillColor rgb="FFFF0000"/>
              <x14:axisColor rgb="FF000000"/>
            </x14:dataBar>
          </x14:cfRule>
          <xm:sqref>D85</xm:sqref>
        </x14:conditionalFormatting>
        <x14:conditionalFormatting xmlns:xm="http://schemas.microsoft.com/office/excel/2006/main">
          <x14:cfRule type="dataBar" id="{272C1C02-5D00-4E79-BD75-D086B0EE91A6}">
            <x14:dataBar minLength="0" maxLength="100" gradient="0">
              <x14:cfvo type="num">
                <xm:f>0</xm:f>
              </x14:cfvo>
              <x14:cfvo type="num">
                <xm:f>1</xm:f>
              </x14:cfvo>
              <x14:negativeFillColor rgb="FFFF0000"/>
              <x14:axisColor rgb="FF000000"/>
            </x14:dataBar>
          </x14:cfRule>
          <xm:sqref>D86</xm:sqref>
        </x14:conditionalFormatting>
        <x14:conditionalFormatting xmlns:xm="http://schemas.microsoft.com/office/excel/2006/main">
          <x14:cfRule type="dataBar" id="{60897657-402D-4F23-84D0-3C3386F2B5F6}">
            <x14:dataBar minLength="0" maxLength="100" gradient="0">
              <x14:cfvo type="num">
                <xm:f>0</xm:f>
              </x14:cfvo>
              <x14:cfvo type="num">
                <xm:f>1</xm:f>
              </x14:cfvo>
              <x14:negativeFillColor rgb="FFFF0000"/>
              <x14:axisColor rgb="FF000000"/>
            </x14:dataBar>
          </x14:cfRule>
          <xm:sqref>D87</xm:sqref>
        </x14:conditionalFormatting>
        <x14:conditionalFormatting xmlns:xm="http://schemas.microsoft.com/office/excel/2006/main">
          <x14:cfRule type="dataBar" id="{F69A1681-8E02-41F7-94F0-200B538AC56E}">
            <x14:dataBar minLength="0" maxLength="100" gradient="0">
              <x14:cfvo type="num">
                <xm:f>0</xm:f>
              </x14:cfvo>
              <x14:cfvo type="num">
                <xm:f>1</xm:f>
              </x14:cfvo>
              <x14:negativeFillColor rgb="FFFF0000"/>
              <x14:axisColor rgb="FF000000"/>
            </x14:dataBar>
          </x14:cfRule>
          <xm:sqref>D88</xm:sqref>
        </x14:conditionalFormatting>
        <x14:conditionalFormatting xmlns:xm="http://schemas.microsoft.com/office/excel/2006/main">
          <x14:cfRule type="dataBar" id="{9CC32F97-A7C5-4D88-96F4-7B03D72913F5}">
            <x14:dataBar minLength="0" maxLength="100" gradient="0">
              <x14:cfvo type="num">
                <xm:f>0</xm:f>
              </x14:cfvo>
              <x14:cfvo type="num">
                <xm:f>1</xm:f>
              </x14:cfvo>
              <x14:negativeFillColor rgb="FFFF0000"/>
              <x14:axisColor rgb="FF000000"/>
            </x14:dataBar>
          </x14:cfRule>
          <xm:sqref>D89</xm:sqref>
        </x14:conditionalFormatting>
        <x14:conditionalFormatting xmlns:xm="http://schemas.microsoft.com/office/excel/2006/main">
          <x14:cfRule type="dataBar" id="{7D180C2C-55F5-478A-AC03-104673016318}">
            <x14:dataBar minLength="0" maxLength="100" gradient="0">
              <x14:cfvo type="num">
                <xm:f>0</xm:f>
              </x14:cfvo>
              <x14:cfvo type="num">
                <xm:f>1</xm:f>
              </x14:cfvo>
              <x14:negativeFillColor rgb="FFFF0000"/>
              <x14:axisColor rgb="FF000000"/>
            </x14:dataBar>
          </x14:cfRule>
          <xm:sqref>D22:D25</xm:sqref>
        </x14:conditionalFormatting>
        <x14:conditionalFormatting xmlns:xm="http://schemas.microsoft.com/office/excel/2006/main">
          <x14:cfRule type="dataBar" id="{03261439-F662-4C35-95C0-1E0F863D39B8}">
            <x14:dataBar minLength="0" maxLength="100" gradient="0">
              <x14:cfvo type="num">
                <xm:f>0</xm:f>
              </x14:cfvo>
              <x14:cfvo type="num">
                <xm:f>1</xm:f>
              </x14:cfvo>
              <x14:negativeFillColor rgb="FFFF0000"/>
              <x14:axisColor rgb="FF000000"/>
            </x14:dataBar>
          </x14:cfRule>
          <xm:sqref>D21</xm:sqref>
        </x14:conditionalFormatting>
        <x14:conditionalFormatting xmlns:xm="http://schemas.microsoft.com/office/excel/2006/main">
          <x14:cfRule type="dataBar" id="{BEB7059F-4EC2-4043-B07D-E19F7C2423B9}">
            <x14:dataBar minLength="0" maxLength="100" gradient="0">
              <x14:cfvo type="num">
                <xm:f>0</xm:f>
              </x14:cfvo>
              <x14:cfvo type="num">
                <xm:f>1</xm:f>
              </x14:cfvo>
              <x14:negativeFillColor rgb="FFFF0000"/>
              <x14:axisColor rgb="FF000000"/>
            </x14:dataBar>
          </x14:cfRule>
          <xm:sqref>D48:D49</xm:sqref>
        </x14:conditionalFormatting>
        <x14:conditionalFormatting xmlns:xm="http://schemas.microsoft.com/office/excel/2006/main">
          <x14:cfRule type="dataBar" id="{BEC3AB7E-0641-4D2F-985B-9133A6AED8D2}">
            <x14:dataBar minLength="0" maxLength="100" gradient="0">
              <x14:cfvo type="num">
                <xm:f>0</xm:f>
              </x14:cfvo>
              <x14:cfvo type="num">
                <xm:f>1</xm:f>
              </x14:cfvo>
              <x14:negativeFillColor rgb="FFFF0000"/>
              <x14:axisColor rgb="FF000000"/>
            </x14:dataBar>
          </x14:cfRule>
          <xm:sqref>D83</xm:sqref>
        </x14:conditionalFormatting>
        <x14:conditionalFormatting xmlns:xm="http://schemas.microsoft.com/office/excel/2006/main">
          <x14:cfRule type="dataBar" id="{7F1BC557-00A9-4CA6-89A4-C81666F65CF2}">
            <x14:dataBar minLength="0" maxLength="100" gradient="0">
              <x14:cfvo type="num">
                <xm:f>0</xm:f>
              </x14:cfvo>
              <x14:cfvo type="num">
                <xm:f>1</xm:f>
              </x14:cfvo>
              <x14:negativeFillColor rgb="FFFF0000"/>
              <x14:axisColor rgb="FF000000"/>
            </x14:dataBar>
          </x14:cfRule>
          <xm:sqref>D84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defaultColWidth="9" defaultRowHeight="14.4" x14ac:dyDescent="0.3"/>
  <cols>
    <col min="1" max="1" width="87" style="47" customWidth="1"/>
    <col min="2" max="16384" width="9" style="48"/>
  </cols>
  <sheetData>
    <row r="1" spans="1:2" ht="46.5" customHeight="1" x14ac:dyDescent="0.3"/>
    <row r="2" spans="1:2" s="50" customFormat="1" ht="16.2" x14ac:dyDescent="0.3">
      <c r="A2" s="49" t="s">
        <v>22</v>
      </c>
      <c r="B2" s="49"/>
    </row>
    <row r="3" spans="1:2" s="53" customFormat="1" ht="27" customHeight="1" x14ac:dyDescent="0.3">
      <c r="A3" s="51" t="s">
        <v>23</v>
      </c>
      <c r="B3" s="52"/>
    </row>
    <row r="4" spans="1:2" s="55" customFormat="1" ht="27" x14ac:dyDescent="0.5">
      <c r="A4" s="54" t="s">
        <v>24</v>
      </c>
    </row>
    <row r="5" spans="1:2" ht="61.5" customHeight="1" x14ac:dyDescent="0.3">
      <c r="A5" s="56" t="s">
        <v>25</v>
      </c>
    </row>
    <row r="6" spans="1:2" ht="26.25" customHeight="1" x14ac:dyDescent="0.3">
      <c r="A6" s="54" t="s">
        <v>26</v>
      </c>
    </row>
    <row r="7" spans="1:2" s="47" customFormat="1" ht="198" customHeight="1" x14ac:dyDescent="0.3">
      <c r="A7" s="57" t="s">
        <v>36</v>
      </c>
    </row>
    <row r="8" spans="1:2" s="55" customFormat="1" ht="27" x14ac:dyDescent="0.5">
      <c r="A8" s="54" t="s">
        <v>27</v>
      </c>
    </row>
    <row r="9" spans="1:2" ht="45" x14ac:dyDescent="0.3">
      <c r="A9" s="56" t="s">
        <v>28</v>
      </c>
    </row>
    <row r="10" spans="1:2" s="47" customFormat="1" ht="27.9" customHeight="1" x14ac:dyDescent="0.3">
      <c r="A10" s="58" t="s">
        <v>29</v>
      </c>
    </row>
    <row r="11" spans="1:2" s="55" customFormat="1" ht="27" x14ac:dyDescent="0.5">
      <c r="A11" s="54" t="s">
        <v>30</v>
      </c>
    </row>
    <row r="12" spans="1:2" ht="30" x14ac:dyDescent="0.3">
      <c r="A12" s="56" t="s">
        <v>31</v>
      </c>
    </row>
    <row r="13" spans="1:2" s="47" customFormat="1" ht="27.9" customHeight="1" x14ac:dyDescent="0.3">
      <c r="A13" s="58" t="s">
        <v>32</v>
      </c>
    </row>
    <row r="14" spans="1:2" s="55" customFormat="1" ht="27" x14ac:dyDescent="0.5">
      <c r="A14" s="54" t="s">
        <v>33</v>
      </c>
    </row>
    <row r="15" spans="1:2" ht="64.5" customHeight="1" x14ac:dyDescent="0.3">
      <c r="A15" s="56" t="s">
        <v>34</v>
      </c>
    </row>
    <row r="16" spans="1:2" ht="45" x14ac:dyDescent="0.3">
      <c r="A16" s="56" t="s">
        <v>35</v>
      </c>
    </row>
  </sheetData>
  <phoneticPr fontId="26"/>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rowBreaks count="1" manualBreakCount="1">
    <brk id="15" max="16383" man="1"/>
  </rowBreaks>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08DBB9E-6D89-4A94-9DC5-964B7833E1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144944C-1F1D-4162-962A-96F3FC8455D8}">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8FE8ED85-58B3-4608-8E91-0433556D50C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6</vt:i4>
      </vt:variant>
    </vt:vector>
  </HeadingPairs>
  <TitlesOfParts>
    <vt:vector size="8" baseType="lpstr">
      <vt:lpstr>プロジェクトのスケジュール</vt:lpstr>
      <vt:lpstr>詳細情報</vt:lpstr>
      <vt:lpstr>プロジェクトのスケジュール!Print_Titles</vt:lpstr>
      <vt:lpstr>プロジェクトのスケジュール!タスク_開始</vt:lpstr>
      <vt:lpstr>プロジェクトのスケジュール!タスク_終了</vt:lpstr>
      <vt:lpstr>プロジェクトのスケジュール!タスク_進捗状況</vt:lpstr>
      <vt:lpstr>プロジェクトの開始</vt:lpstr>
      <vt:lpstr>週表示</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2026-10-20T07:43:42Z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